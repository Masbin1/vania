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Vania Titi\Documents\Vania Project\Odoo\Odoo Phase 2\"/>
    </mc:Choice>
  </mc:AlternateContent>
  <xr:revisionPtr revIDLastSave="0" documentId="8_{5597B24A-02F9-47D3-AC82-90695D0484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cenario Matrix" sheetId="1" r:id="rId1"/>
    <sheet name="Sequential Rule" sheetId="3" r:id="rId2"/>
    <sheet name="Business Use Case" sheetId="8" r:id="rId3"/>
    <sheet name="UAT Test Cases" sheetId="6" r:id="rId4"/>
    <sheet name="Incentive Scheme" sheetId="9" r:id="rId5"/>
    <sheet name="Scenario Matrix Guide" sheetId="2" r:id="rId6"/>
    <sheet name="End-to-End Process" sheetId="5" r:id="rId7"/>
    <sheet name="Odoo Setup Objects" sheetId="4" r:id="rId8"/>
    <sheet name="Legend" sheetId="7" state="hidden" r:id="rId9"/>
  </sheets>
  <definedNames>
    <definedName name="_xlnm._FilterDatabase" localSheetId="6" hidden="1">'End-to-End Process'!$A$1:$D$17</definedName>
    <definedName name="_xlnm._FilterDatabase" localSheetId="7" hidden="1">'Odoo Setup Objects'!$A$1:$D$12</definedName>
    <definedName name="_xlnm._FilterDatabase" localSheetId="0" hidden="1">'Scenario Matrix'!$A$3:$I$24</definedName>
    <definedName name="_xlnm._FilterDatabase" localSheetId="1" hidden="1">'Sequential Rule'!$D$3:$I$16</definedName>
    <definedName name="_xlnm._FilterDatabase" localSheetId="3" hidden="1">'UAT Test Cases'!$B$1:$G$21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3" i="9" l="1"/>
  <c r="AA33" i="9"/>
  <c r="AA34" i="9" s="1"/>
  <c r="AA36" i="9" s="1"/>
  <c r="Z33" i="9"/>
  <c r="X33" i="9"/>
  <c r="W33" i="9"/>
  <c r="AE32" i="9"/>
  <c r="AB32" i="9"/>
  <c r="F32" i="9"/>
  <c r="AB31" i="9"/>
  <c r="X31" i="9"/>
  <c r="Y31" i="9" s="1"/>
  <c r="L31" i="9"/>
  <c r="F31" i="9"/>
  <c r="Z18" i="9" s="1"/>
  <c r="AB30" i="9"/>
  <c r="X30" i="9"/>
  <c r="Y30" i="9" s="1"/>
  <c r="F30" i="9"/>
  <c r="AB29" i="9"/>
  <c r="X29" i="9"/>
  <c r="Y29" i="9" s="1"/>
  <c r="F29" i="9"/>
  <c r="AB28" i="9"/>
  <c r="X28" i="9"/>
  <c r="X34" i="9" s="1"/>
  <c r="X36" i="9" s="1"/>
  <c r="F28" i="9"/>
  <c r="F27" i="9"/>
  <c r="F22" i="9"/>
  <c r="F21" i="9"/>
  <c r="Z20" i="9"/>
  <c r="W20" i="9"/>
  <c r="F20" i="9"/>
  <c r="Z19" i="9"/>
  <c r="W19" i="9"/>
  <c r="AA19" i="9" s="1"/>
  <c r="F19" i="9"/>
  <c r="W18" i="9"/>
  <c r="F18" i="9"/>
  <c r="Z17" i="9"/>
  <c r="W17" i="9"/>
  <c r="F17" i="9"/>
  <c r="Z14" i="9"/>
  <c r="D12" i="9"/>
  <c r="M6" i="9"/>
  <c r="M5" i="9"/>
  <c r="O5" i="9" s="1"/>
  <c r="M4" i="9"/>
  <c r="O4" i="9" s="1"/>
  <c r="J65" i="8"/>
  <c r="I23" i="8"/>
  <c r="I27" i="8" s="1"/>
  <c r="J41" i="8"/>
  <c r="J38" i="8"/>
  <c r="J61" i="8"/>
  <c r="J34" i="8" s="1"/>
  <c r="G59" i="8"/>
  <c r="G60" i="8" s="1"/>
  <c r="G45" i="8"/>
  <c r="G46" i="8" s="1"/>
  <c r="G31" i="8"/>
  <c r="G32" i="8" s="1"/>
  <c r="I37" i="8"/>
  <c r="I41" i="8" s="1"/>
  <c r="J51" i="8"/>
  <c r="J52" i="8" s="1"/>
  <c r="G10" i="8"/>
  <c r="G24" i="8"/>
  <c r="G38" i="8"/>
  <c r="G52" i="8"/>
  <c r="I51" i="8"/>
  <c r="I52" i="8" s="1"/>
  <c r="I34" i="8"/>
  <c r="I20" i="8"/>
  <c r="H51" i="8"/>
  <c r="H52" i="8" s="1"/>
  <c r="H37" i="8"/>
  <c r="H38" i="8" s="1"/>
  <c r="H23" i="8"/>
  <c r="H24" i="8" s="1"/>
  <c r="H9" i="8"/>
  <c r="H10" i="8" s="1"/>
  <c r="H10" i="3"/>
  <c r="H9" i="3"/>
  <c r="H8" i="3"/>
  <c r="H7" i="3"/>
  <c r="H6" i="3"/>
  <c r="H5" i="3"/>
  <c r="H15" i="8" l="1"/>
  <c r="I28" i="8"/>
  <c r="E5" i="6"/>
  <c r="I42" i="8"/>
  <c r="E7" i="6"/>
  <c r="I56" i="8"/>
  <c r="I57" i="8"/>
  <c r="J56" i="8"/>
  <c r="G57" i="8"/>
  <c r="G58" i="8" s="1"/>
  <c r="H56" i="8"/>
  <c r="G43" i="8"/>
  <c r="H42" i="8"/>
  <c r="G29" i="8"/>
  <c r="G30" i="8" s="1"/>
  <c r="H14" i="8"/>
  <c r="J57" i="8"/>
  <c r="M7" i="9"/>
  <c r="X17" i="9"/>
  <c r="AA17" i="9"/>
  <c r="AB17" i="9"/>
  <c r="X18" i="9"/>
  <c r="AA18" i="9"/>
  <c r="AA20" i="9"/>
  <c r="X20" i="9"/>
  <c r="Y20" i="9" s="1"/>
  <c r="AB20" i="9"/>
  <c r="AB18" i="9"/>
  <c r="W34" i="9"/>
  <c r="W36" i="9" s="1"/>
  <c r="Y33" i="9"/>
  <c r="Z34" i="9"/>
  <c r="Z36" i="9" s="1"/>
  <c r="AC33" i="9"/>
  <c r="AE33" i="9" s="1"/>
  <c r="AB33" i="9"/>
  <c r="AB34" i="9" s="1"/>
  <c r="Y14" i="9"/>
  <c r="Y17" i="9"/>
  <c r="AB19" i="9"/>
  <c r="Y18" i="9"/>
  <c r="AD29" i="9"/>
  <c r="AE29" i="9" s="1"/>
  <c r="AA14" i="9"/>
  <c r="AB14" i="9" s="1"/>
  <c r="Z15" i="9"/>
  <c r="AD28" i="9"/>
  <c r="AD30" i="9"/>
  <c r="AE30" i="9" s="1"/>
  <c r="AC34" i="9"/>
  <c r="AC36" i="9" s="1"/>
  <c r="X19" i="9"/>
  <c r="Y19" i="9" s="1"/>
  <c r="Y28" i="9"/>
  <c r="Y34" i="9" s="1"/>
  <c r="AD31" i="9"/>
  <c r="AE31" i="9" s="1"/>
  <c r="Y15" i="9"/>
  <c r="F4" i="6"/>
  <c r="H28" i="8"/>
  <c r="G15" i="8"/>
  <c r="F3" i="6"/>
  <c r="H16" i="8"/>
  <c r="J24" i="8"/>
  <c r="J29" i="8" s="1"/>
  <c r="G16" i="8"/>
  <c r="I24" i="8"/>
  <c r="I45" i="8"/>
  <c r="I46" i="8" s="1"/>
  <c r="J20" i="8"/>
  <c r="J31" i="8" s="1"/>
  <c r="J32" i="8" s="1"/>
  <c r="J59" i="8"/>
  <c r="J60" i="8" s="1"/>
  <c r="I31" i="8"/>
  <c r="I32" i="8" s="1"/>
  <c r="H45" i="8"/>
  <c r="H46" i="8" s="1"/>
  <c r="I59" i="8"/>
  <c r="I60" i="8" s="1"/>
  <c r="E2" i="6"/>
  <c r="H59" i="8"/>
  <c r="H60" i="8" s="1"/>
  <c r="I38" i="8"/>
  <c r="E3" i="6"/>
  <c r="E4" i="6"/>
  <c r="J43" i="8"/>
  <c r="E6" i="6"/>
  <c r="H31" i="8"/>
  <c r="H32" i="8" s="1"/>
  <c r="J45" i="8"/>
  <c r="J46" i="8" s="1"/>
  <c r="J66" i="8"/>
  <c r="J71" i="8" s="1"/>
  <c r="J72" i="8" s="1"/>
  <c r="F17" i="6" s="1"/>
  <c r="J73" i="8"/>
  <c r="J74" i="8" s="1"/>
  <c r="H29" i="8"/>
  <c r="H30" i="8" s="1"/>
  <c r="H43" i="8"/>
  <c r="F5" i="6" s="1"/>
  <c r="H57" i="8"/>
  <c r="F7" i="6" s="1"/>
  <c r="I43" i="8" l="1"/>
  <c r="J42" i="8"/>
  <c r="J44" i="8" s="1"/>
  <c r="F15" i="6" s="1"/>
  <c r="I29" i="8"/>
  <c r="J28" i="8"/>
  <c r="J30" i="8"/>
  <c r="F16" i="6" s="1"/>
  <c r="H44" i="8"/>
  <c r="F6" i="6"/>
  <c r="G44" i="8"/>
  <c r="H58" i="8"/>
  <c r="J58" i="8"/>
  <c r="I58" i="8"/>
  <c r="I44" i="8"/>
  <c r="I30" i="8"/>
  <c r="F18" i="6" s="1"/>
  <c r="AD34" i="9"/>
  <c r="AD36" i="9" s="1"/>
  <c r="AE28" i="9"/>
  <c r="AE34" i="9" s="1"/>
  <c r="F2" i="6"/>
</calcChain>
</file>

<file path=xl/sharedStrings.xml><?xml version="1.0" encoding="utf-8"?>
<sst xmlns="http://schemas.openxmlformats.org/spreadsheetml/2006/main" count="994" uniqueCount="587">
  <si>
    <t>ODOO INCENTIVE SETUP – SCENARIO MATRIX</t>
  </si>
  <si>
    <t>ID</t>
  </si>
  <si>
    <t>Scenario/Business Rule</t>
  </si>
  <si>
    <t>Trigger / Driver / Input</t>
  </si>
  <si>
    <t>Odoo Setup/Object</t>
  </si>
  <si>
    <t>Calculation / Logic</t>
  </si>
  <si>
    <t>Expected Result</t>
  </si>
  <si>
    <t>Standard Odoo</t>
  </si>
  <si>
    <t>Customization</t>
  </si>
  <si>
    <t>Priority</t>
  </si>
  <si>
    <t>Discussion</t>
  </si>
  <si>
    <t>S01</t>
  </si>
  <si>
    <t>Sales target (incentive-based) assigned to active sales team</t>
  </si>
  <si>
    <t>Active salesperson + branch + period</t>
  </si>
  <si>
    <t>Sales Team / Salesperson + Incentive Target table</t>
  </si>
  <si>
    <t>Target is stored by salesperson/team and incentive period</t>
  </si>
  <si>
    <t>Each salesperson has one valid target for the period</t>
  </si>
  <si>
    <t>Yes</t>
  </si>
  <si>
    <t>No</t>
  </si>
  <si>
    <t>Critical</t>
  </si>
  <si>
    <t>VIF have prepared target per sales person in excel</t>
  </si>
  <si>
    <t>S02</t>
  </si>
  <si>
    <t>Branch target cascaded to individual salespersons</t>
  </si>
  <si>
    <t>Branch target + FTE allocation</t>
  </si>
  <si>
    <t>Incentive Target Allocation</t>
  </si>
  <si>
    <t>Individual target = branch target × FTE / total eligible FTE</t>
  </si>
  <si>
    <t>Target automatically allocated to eligible team members</t>
  </si>
  <si>
    <t>Do we want to set the rule for any movement and/or dynamic?</t>
  </si>
  <si>
    <t>S03</t>
  </si>
  <si>
    <t>Incentive-based target vs bonus-based target</t>
  </si>
  <si>
    <t>Incentive-based target = original target for active sales team
Bonus-based target = Distributed-target cascaded from resigned team</t>
  </si>
  <si>
    <t>Incentive Target table</t>
  </si>
  <si>
    <t>Each sales person has 2 buckets:
- Incentive-based bucket = predefined 
- Bonus-based bucket = Dynamic -- changes derived from sales team movement</t>
  </si>
  <si>
    <t>System can calculate mixed scenario</t>
  </si>
  <si>
    <t>Need to prepare 2 buckets for each sales person</t>
  </si>
  <si>
    <t>S04</t>
  </si>
  <si>
    <t>Sequential eligibility</t>
  </si>
  <si>
    <t>Sales achievement %</t>
  </si>
  <si>
    <t>Incentive Rule / Tier table</t>
  </si>
  <si>
    <r>
      <rPr>
        <b/>
        <sz val="11"/>
        <color theme="1"/>
        <rFont val="Calibri"/>
        <family val="2"/>
        <scheme val="minor"/>
      </rPr>
      <t>Tier Level | Sales Achievement | Incentive Payout Allocation</t>
    </r>
    <r>
      <rPr>
        <sz val="11"/>
        <color theme="1"/>
        <rFont val="Calibri"/>
        <family val="2"/>
        <scheme val="minor"/>
      </rPr>
      <t xml:space="preserve">
Tier 0 | &lt;=75% | 0%
Tier 1 | 75-84.9% | 40%
Tier 2 | 85-89.9% | 80%
Tier 3 | 90-99.9% | 90%
Tier 4 | 100-109.9% | 100%
Tier 5 | &gt;=110% | 105%</t>
    </r>
  </si>
  <si>
    <t>Eligibility based on sales achievement, both individual and branch, with total sales
Correct allocation rate selected automatically</t>
  </si>
  <si>
    <t>Total sales applied for all paid invoices with no limit to specific discount rule. 
If sales lines had &gt;35% discount, will be included in sales achievement eligibility sequence 1</t>
  </si>
  <si>
    <t>S05</t>
  </si>
  <si>
    <t>Base incentive rate</t>
  </si>
  <si>
    <t>Eligible tier</t>
  </si>
  <si>
    <t>Incentive Rule</t>
  </si>
  <si>
    <r>
      <rPr>
        <b/>
        <sz val="11"/>
        <color theme="1"/>
        <rFont val="Calibri"/>
        <family val="2"/>
        <scheme val="minor"/>
      </rPr>
      <t>Base rate = 0.75%</t>
    </r>
    <r>
      <rPr>
        <sz val="11"/>
        <color theme="1"/>
        <rFont val="Calibri"/>
        <family val="2"/>
        <scheme val="minor"/>
      </rPr>
      <t xml:space="preserve"> of eligible sales achievement</t>
    </r>
  </si>
  <si>
    <t>Rate is multiplied by eligible fully paid invoice with max discount 35% per sales lines</t>
  </si>
  <si>
    <t>Sequential rules applied</t>
  </si>
  <si>
    <t>S06</t>
  </si>
  <si>
    <t>Individual + branch incentive</t>
  </si>
  <si>
    <t>Eligible revenue + tier</t>
  </si>
  <si>
    <t>Incentive Calculation</t>
  </si>
  <si>
    <t>Branch incentive and individual incentive calculated separately, then summed</t>
  </si>
  <si>
    <t>Total incentive = branch + individual</t>
  </si>
  <si>
    <t>High</t>
  </si>
  <si>
    <t>Provide tagging "Eligible | Not Eligible" for each month period</t>
  </si>
  <si>
    <t>S07</t>
  </si>
  <si>
    <t>35% maximum discount eligibility</t>
  </si>
  <si>
    <t>Sales order/invoice line discount</t>
  </si>
  <si>
    <t>Sales Order Line validation / incentive eligibility flag</t>
  </si>
  <si>
    <t>Only invoice lines with discount &lt;=35% are eligible</t>
  </si>
  <si>
    <t>Any invoice lines with discount exceeded 35% will be excluded from incentive calculation</t>
  </si>
  <si>
    <t>S08</t>
  </si>
  <si>
    <r>
      <rPr>
        <b/>
        <sz val="11"/>
        <color theme="1"/>
        <rFont val="Calibri"/>
        <family val="2"/>
        <scheme val="minor"/>
      </rPr>
      <t>Fully paid</t>
    </r>
    <r>
      <rPr>
        <sz val="11"/>
        <color theme="1"/>
        <rFont val="Calibri"/>
        <family val="2"/>
        <scheme val="minor"/>
      </rPr>
      <t xml:space="preserve"> historical invoices generate incentive</t>
    </r>
  </si>
  <si>
    <t>Invoice payment status + original invoice month</t>
  </si>
  <si>
    <t>Invoice / Payment / Incentive Transaction</t>
  </si>
  <si>
    <t>Eligible invoice remains linked to original incentive month; payout becomes eligible when payment condition is met</t>
  </si>
  <si>
    <t>Payout is calculated based on any sales invoice fully paid in current period 
Historical invoice can enter current payout calculation with respective eligibility sales achievement</t>
  </si>
  <si>
    <t>Partial</t>
  </si>
  <si>
    <t>S09</t>
  </si>
  <si>
    <t>Multi-iteration for prior-period invoices</t>
  </si>
  <si>
    <t>Unpaid invoice from prior month becomes fully paid
Partial paid have to be excluded</t>
  </si>
  <si>
    <t>Incentive Transaction / Payment reconciliation</t>
  </si>
  <si>
    <t>Recalculate/append eligible transaction when payment occurs</t>
  </si>
  <si>
    <t>Prior-period invoice is recognized without losing original period tag</t>
  </si>
  <si>
    <t>Refer to month tagging "Eligible | Not Eligible"</t>
  </si>
  <si>
    <t>S10</t>
  </si>
  <si>
    <t>Refund / cancellation - customer initiated</t>
  </si>
  <si>
    <t>Refund status + stock type</t>
  </si>
  <si>
    <t>Credit Note / Refund + Incentive Transaction</t>
  </si>
  <si>
    <t>Apply refund policy according to stock and initiator; reverse/adjust incentive transaction</t>
  </si>
  <si>
    <t>No double payout; adjustment traceable</t>
  </si>
  <si>
    <t>Current period sales achievement shall be deducted by sales refund from historical period</t>
  </si>
  <si>
    <t>S11</t>
  </si>
  <si>
    <t>Refund policy: available stock / customer</t>
  </si>
  <si>
    <t>Refund event</t>
  </si>
  <si>
    <t>Refund Policy matrix</t>
  </si>
  <si>
    <t>Customer + available stock = 99% refund; customer + indent/WIP follows configured policy</t>
  </si>
  <si>
    <t>Correct refund and incentive reversal</t>
  </si>
  <si>
    <t>S12</t>
  </si>
  <si>
    <t>Refund initiated by VIF</t>
  </si>
  <si>
    <t>Refund event + initiator</t>
  </si>
  <si>
    <t>Use agreement-based refund policy</t>
  </si>
  <si>
    <t>Refund follows agreed exception rule</t>
  </si>
  <si>
    <t>S13</t>
  </si>
  <si>
    <t>Resignation / vacant position</t>
  </si>
  <si>
    <t>Employee inactive / resignation date</t>
  </si>
  <si>
    <t>Employee + Incentive Target Allocation</t>
  </si>
  <si>
    <t>Vacant target redistributed by FTE to active salespersons until replacement joins</t>
  </si>
  <si>
    <t>Remaining team target increases automatically</t>
  </si>
  <si>
    <t>S14</t>
  </si>
  <si>
    <t>New hire mid-month</t>
  </si>
  <si>
    <t>Employee join date</t>
  </si>
  <si>
    <t>Prorate target based on active days/month</t>
  </si>
  <si>
    <t>New hire receives prorated target and incentive eligibility</t>
  </si>
  <si>
    <t>S15</t>
  </si>
  <si>
    <t>Target movement after resignation</t>
  </si>
  <si>
    <t>Resignation date + replacement date</t>
  </si>
  <si>
    <t>Target Movement Log</t>
  </si>
  <si>
    <t>Split target by effective dates and reallocate balance</t>
  </si>
  <si>
    <t>Audit trail shows original, transferred and prorated target</t>
  </si>
  <si>
    <t>S16</t>
  </si>
  <si>
    <t>Scenario 1: full incentive-based target</t>
  </si>
  <si>
    <t>Scenario selector = Full Incentive</t>
  </si>
  <si>
    <t>Scenario Engine</t>
  </si>
  <si>
    <t>All target assigned to incentive bucket; apply 0.75% base rate</t>
  </si>
  <si>
    <t>Incentive payout calculated under Scenario 1</t>
  </si>
  <si>
    <t>S17</t>
  </si>
  <si>
    <t>Scenario 2: mixed target (incentive-based &amp; bonus-based)</t>
  </si>
  <si>
    <t>Scenario selector = Mixed</t>
  </si>
  <si>
    <t>Incentive target + bonus target; incentive rate 0.75%, bonus rate 1.00%</t>
  </si>
  <si>
    <t>System calculates two payout streams and total</t>
  </si>
  <si>
    <t>S18</t>
  </si>
  <si>
    <t>Tier 5 not applicable in mixed scenario</t>
  </si>
  <si>
    <t>Mixed scenario + achievement &gt;=110%</t>
  </si>
  <si>
    <t>Rule condition</t>
  </si>
  <si>
    <t>Do not apply 105% tier to incentive portion when mixed scenario is active</t>
  </si>
  <si>
    <t>Correct payout per policy</t>
  </si>
  <si>
    <t>Condition for mixed target:
Incentive-based achieved 100%, any excess will be considered as bonus-target</t>
  </si>
  <si>
    <t>S19</t>
  </si>
  <si>
    <t>Salesperson visibility</t>
  </si>
  <si>
    <t>Logged-in salesperson</t>
  </si>
  <si>
    <t>Odoo access rights / dashboard</t>
  </si>
  <si>
    <t>User sees own target, achievement and calculated incentive; not tax-adjusted payout</t>
  </si>
  <si>
    <t>Self-service visibility</t>
  </si>
  <si>
    <t>Odoo payout calculation act as reference for payslip calculation
Any respective taxes calculated separately outside the system</t>
  </si>
  <si>
    <t>S20</t>
  </si>
  <si>
    <t>Manager visibility</t>
  </si>
  <si>
    <t>Manager hierarchy</t>
  </si>
  <si>
    <t>Security groups + reporting domain</t>
  </si>
  <si>
    <t>Manager sees subordinate performance and incentive</t>
  </si>
  <si>
    <t>C-level consist of  CEO and Head of Sales</t>
  </si>
  <si>
    <t>S21</t>
  </si>
  <si>
    <t>Period eligibility tagging</t>
  </si>
  <si>
    <t>Incentive month</t>
  </si>
  <si>
    <t>Incentive Period master</t>
  </si>
  <si>
    <t>Each incentive transaction stores incentive month, source invoice month and payment month</t>
  </si>
  <si>
    <t>Eligible months can be traced</t>
  </si>
  <si>
    <t>Tagging month is crucial</t>
  </si>
  <si>
    <t>S22</t>
  </si>
  <si>
    <t>Audit trail</t>
  </si>
  <si>
    <t>Any target/rule/calculation change</t>
  </si>
  <si>
    <t>Chatter / log + calculation snapshot</t>
  </si>
  <si>
    <t>Freeze approved calculation version</t>
  </si>
  <si>
    <t>Finance can reconcile and explain payout</t>
  </si>
  <si>
    <t>When finance lock the accounting period, payout calculation shall final and can't change overtime</t>
  </si>
  <si>
    <t>Sequential Condition</t>
  </si>
  <si>
    <t>Sequential ID</t>
  </si>
  <si>
    <t>Rule ID</t>
  </si>
  <si>
    <t>Rule Condition</t>
  </si>
  <si>
    <t>Condition</t>
  </si>
  <si>
    <t>Notes</t>
  </si>
  <si>
    <t>Base Rate</t>
  </si>
  <si>
    <t>Allocation</t>
  </si>
  <si>
    <t>Payout</t>
  </si>
  <si>
    <t>SQ1</t>
  </si>
  <si>
    <t>Total sales achievement (Actual vs Target) with no restriction (include non-paid and discount &gt;35%)</t>
  </si>
  <si>
    <t>T0</t>
  </si>
  <si>
    <t>Tier 0 = Achievement &lt;=75%</t>
  </si>
  <si>
    <t>Not eligible</t>
  </si>
  <si>
    <t>T1</t>
  </si>
  <si>
    <t>Tier 1 = 75%–84.9%</t>
  </si>
  <si>
    <t>Of eligible revenue</t>
  </si>
  <si>
    <t>T2</t>
  </si>
  <si>
    <t>Tier 2 = 85%–89.9%</t>
  </si>
  <si>
    <t>T3</t>
  </si>
  <si>
    <t>Tier 3 = 90%–99.9%</t>
  </si>
  <si>
    <t>T4</t>
  </si>
  <si>
    <t>Tier 4 = 100%–109.9%</t>
  </si>
  <si>
    <t>T5</t>
  </si>
  <si>
    <t>Tier 5 = Achievement &gt;=110%</t>
  </si>
  <si>
    <t>Full incentive scenario only</t>
  </si>
  <si>
    <t>SQ2</t>
  </si>
  <si>
    <t>Sales lines with max discount 35% are eligible</t>
  </si>
  <si>
    <t>D1</t>
  </si>
  <si>
    <t>Invoice line discount &lt;=35%</t>
  </si>
  <si>
    <t>Eligible</t>
  </si>
  <si>
    <t>Eligibility evaluated at item-line level</t>
  </si>
  <si>
    <t>D2</t>
  </si>
  <si>
    <t>Invoice line discount &gt;35%</t>
  </si>
  <si>
    <t>Exclude only affected line</t>
  </si>
  <si>
    <t>SQ3</t>
  </si>
  <si>
    <t>Payment status</t>
  </si>
  <si>
    <t>P1</t>
  </si>
  <si>
    <t>Payment status = Fully Paid</t>
  </si>
  <si>
    <t>Eligible for payout</t>
  </si>
  <si>
    <t>Depending on configured payment basis</t>
  </si>
  <si>
    <t>SQA</t>
  </si>
  <si>
    <t>Additional circumstance on top of sequential</t>
  </si>
  <si>
    <t>R1</t>
  </si>
  <si>
    <t>Refund/cancel</t>
  </si>
  <si>
    <t>Adjustment / reversal</t>
  </si>
  <si>
    <t>Must retain source incentive transaction</t>
  </si>
  <si>
    <t>N1</t>
  </si>
  <si>
    <t>Prorated</t>
  </si>
  <si>
    <t>Use effective active days</t>
  </si>
  <si>
    <t>V1</t>
  </si>
  <si>
    <t>Vacant/resigned position</t>
  </si>
  <si>
    <t>Redistribute</t>
  </si>
  <si>
    <t>Based on FTE among eligible active salespersons</t>
  </si>
  <si>
    <t>Business Use Case</t>
  </si>
  <si>
    <t>As per JULY</t>
  </si>
  <si>
    <t>Sales Team</t>
  </si>
  <si>
    <t>Employment Status</t>
  </si>
  <si>
    <t>Sequence Condition</t>
  </si>
  <si>
    <t>May</t>
  </si>
  <si>
    <t>June</t>
  </si>
  <si>
    <t>July</t>
  </si>
  <si>
    <t>August</t>
  </si>
  <si>
    <t>UAT #</t>
  </si>
  <si>
    <t>Reference
Cell</t>
  </si>
  <si>
    <t>A</t>
  </si>
  <si>
    <t>Jakarta</t>
  </si>
  <si>
    <t>Resigned</t>
  </si>
  <si>
    <t>Incentive-Based Target Sales</t>
  </si>
  <si>
    <t>Bonus-Based Target Sales</t>
  </si>
  <si>
    <t>Actual Sales</t>
  </si>
  <si>
    <t>Sales Return Prior/Current in June</t>
  </si>
  <si>
    <t>Net Sales</t>
  </si>
  <si>
    <t>Sequence 1</t>
  </si>
  <si>
    <t>Incentive Tier</t>
  </si>
  <si>
    <t>Resigned as per 30 June</t>
  </si>
  <si>
    <t>Auto-calculation</t>
  </si>
  <si>
    <t>TC01</t>
  </si>
  <si>
    <t>F11</t>
  </si>
  <si>
    <t>Sequence 2</t>
  </si>
  <si>
    <t>Eligible Achievement Incentive</t>
  </si>
  <si>
    <t>Sequence 3</t>
  </si>
  <si>
    <t>Paid invoice previous month</t>
  </si>
  <si>
    <t>Paid invoice in current month</t>
  </si>
  <si>
    <t>Incentive Payout Previous Month</t>
  </si>
  <si>
    <t>Incentive Payout Current Month</t>
  </si>
  <si>
    <t>Total Incentive Payout</t>
  </si>
  <si>
    <t>Eligible Achievement Bonus</t>
  </si>
  <si>
    <t>Bonus Payout</t>
  </si>
  <si>
    <t>B</t>
  </si>
  <si>
    <t>Active</t>
  </si>
  <si>
    <t>TC02</t>
  </si>
  <si>
    <t>F21</t>
  </si>
  <si>
    <t>C</t>
  </si>
  <si>
    <t>TC04</t>
  </si>
  <si>
    <t>G31</t>
  </si>
  <si>
    <t>TC05</t>
  </si>
  <si>
    <t>F31</t>
  </si>
  <si>
    <t>D</t>
  </si>
  <si>
    <t>Bali</t>
  </si>
  <si>
    <t>TC03</t>
  </si>
  <si>
    <t>H41</t>
  </si>
  <si>
    <t>TC06</t>
  </si>
  <si>
    <t>G41</t>
  </si>
  <si>
    <t>E</t>
  </si>
  <si>
    <t>On Boarding</t>
  </si>
  <si>
    <t>Join 01 Aug</t>
  </si>
  <si>
    <t>Target start 18 August</t>
  </si>
  <si>
    <t>Category</t>
  </si>
  <si>
    <t>TC #</t>
  </si>
  <si>
    <t>Scenario</t>
  </si>
  <si>
    <t>Input</t>
  </si>
  <si>
    <r>
      <t xml:space="preserve">Total Payout
</t>
    </r>
    <r>
      <rPr>
        <b/>
        <i/>
        <sz val="11"/>
        <color rgb="FFFFFFFF"/>
        <rFont val="Calibri"/>
        <family val="2"/>
      </rPr>
      <t>(refer calculation)</t>
    </r>
  </si>
  <si>
    <r>
      <t xml:space="preserve">Status
</t>
    </r>
    <r>
      <rPr>
        <b/>
        <i/>
        <sz val="11"/>
        <color rgb="FFFFFFFF"/>
        <rFont val="Calibri"/>
        <family val="2"/>
      </rPr>
      <t>(drop-down)</t>
    </r>
  </si>
  <si>
    <r>
      <t xml:space="preserve">Result
</t>
    </r>
    <r>
      <rPr>
        <b/>
        <i/>
        <sz val="11"/>
        <color rgb="FFFFFFFF"/>
        <rFont val="Calibri"/>
        <family val="2"/>
      </rPr>
      <t>(drop-down)</t>
    </r>
  </si>
  <si>
    <t>Tier 0 | &lt;75% achievement</t>
  </si>
  <si>
    <t>Sales team = Sales A
Sales period= MAY</t>
  </si>
  <si>
    <t>Not Run</t>
  </si>
  <si>
    <t>"Not Started"</t>
  </si>
  <si>
    <t>Tier 2 | 86% achievement</t>
  </si>
  <si>
    <t>Sales team = Sales B
Sales period= MAY</t>
  </si>
  <si>
    <t>Tier 5 | 110% achievement</t>
  </si>
  <si>
    <t>Sales team = Sales D
Sales period= JULY</t>
  </si>
  <si>
    <t>Tier 3 | 93% achievement</t>
  </si>
  <si>
    <t>Sales team = Sales C
Sales period= JUNE</t>
  </si>
  <si>
    <t>Tier 4 | 100% achievement</t>
  </si>
  <si>
    <t>Sales team = Sales C
Sales period= MAY</t>
  </si>
  <si>
    <t>Tier 1 | 76% achievement</t>
  </si>
  <si>
    <t>Sales team = Sales D
Sales period= JUNE</t>
  </si>
  <si>
    <t>Discount &gt;35%</t>
  </si>
  <si>
    <t>1 sales invoice has 3 lines:
SKU A disc 20%, SKU B disc 35%, SKU C disc 60%</t>
  </si>
  <si>
    <t>SKU A &amp; B eligible; SKU C not eligible</t>
  </si>
  <si>
    <t>Prior invoice paid later</t>
  </si>
  <si>
    <r>
      <rPr>
        <b/>
        <sz val="11"/>
        <color theme="1"/>
        <rFont val="Calibri"/>
        <family val="2"/>
        <scheme val="minor"/>
      </rPr>
      <t>Previous invoice period paid in current month</t>
    </r>
    <r>
      <rPr>
        <sz val="11"/>
        <color theme="1"/>
        <rFont val="Calibri"/>
        <family val="2"/>
        <scheme val="minor"/>
      </rPr>
      <t xml:space="preserve">
Previous month performance not achieved - Tier 0</t>
    </r>
  </si>
  <si>
    <t>Total payout only calculate "Paid Invoice in Current Month"</t>
  </si>
  <si>
    <r>
      <rPr>
        <b/>
        <sz val="11"/>
        <color theme="1"/>
        <rFont val="Calibri"/>
        <family val="2"/>
        <scheme val="minor"/>
      </rPr>
      <t>Previous invoice period paid in current month</t>
    </r>
    <r>
      <rPr>
        <sz val="11"/>
        <color theme="1"/>
        <rFont val="Calibri"/>
        <family val="2"/>
        <scheme val="minor"/>
      </rPr>
      <t xml:space="preserve">
Previous month performance achieved - Tier 1 and above</t>
    </r>
  </si>
  <si>
    <t>Total payout = "Paid Invoice Previous Month" + "Paid Invoice in Current Month"</t>
  </si>
  <si>
    <t>Customer refund</t>
  </si>
  <si>
    <r>
      <rPr>
        <b/>
        <sz val="11"/>
        <color theme="1"/>
        <rFont val="Calibri"/>
        <family val="2"/>
        <scheme val="minor"/>
      </rPr>
      <t>Sales Return: Previous Month
Current Period: Current Month</t>
    </r>
    <r>
      <rPr>
        <sz val="11"/>
        <color theme="1"/>
        <rFont val="Calibri"/>
        <family val="2"/>
        <scheme val="minor"/>
      </rPr>
      <t xml:space="preserve">
Tiering Not Change</t>
    </r>
  </si>
  <si>
    <t>NEED UPDATE</t>
  </si>
  <si>
    <r>
      <rPr>
        <b/>
        <sz val="11"/>
        <color theme="1"/>
        <rFont val="Calibri"/>
        <family val="2"/>
        <scheme val="minor"/>
      </rPr>
      <t>Sales Return: Previous Month
Current Period: Current Month</t>
    </r>
    <r>
      <rPr>
        <sz val="11"/>
        <color theme="1"/>
        <rFont val="Calibri"/>
        <family val="2"/>
        <scheme val="minor"/>
      </rPr>
      <t xml:space="preserve">
Tiering degrading from original achievement before return, but still eligible for incentive</t>
    </r>
  </si>
  <si>
    <r>
      <rPr>
        <b/>
        <sz val="11"/>
        <color theme="1"/>
        <rFont val="Calibri"/>
        <family val="2"/>
        <scheme val="minor"/>
      </rPr>
      <t>Sales Return: Previous Month
Current Period: Current Month</t>
    </r>
    <r>
      <rPr>
        <sz val="11"/>
        <color theme="1"/>
        <rFont val="Calibri"/>
        <family val="2"/>
        <scheme val="minor"/>
      </rPr>
      <t xml:space="preserve">
Tiering degrading from original achievement before return, no longer eligible for incentive</t>
    </r>
  </si>
  <si>
    <t>Resignation</t>
  </si>
  <si>
    <r>
      <rPr>
        <b/>
        <sz val="11"/>
        <color theme="1"/>
        <rFont val="Calibri"/>
        <family val="2"/>
        <scheme val="minor"/>
      </rPr>
      <t>Sales team A</t>
    </r>
    <r>
      <rPr>
        <sz val="11"/>
        <color theme="1"/>
        <rFont val="Calibri"/>
        <family val="2"/>
        <scheme val="minor"/>
      </rPr>
      <t xml:space="preserve"> resigns by end of June
Impact to active sales team in respective month</t>
    </r>
  </si>
  <si>
    <t>Vacant target redistributed by FTE</t>
  </si>
  <si>
    <t>Scenario 2: mixed target
(incentive-based &amp; bonus-based)</t>
  </si>
  <si>
    <t>Tier 4 | 100% achievement
Bonus achieved</t>
  </si>
  <si>
    <t>Sales team = Sales C
Sales period = August</t>
  </si>
  <si>
    <t xml:space="preserve">Payout Rate incentive-based + 1.00% bonus-based
</t>
  </si>
  <si>
    <t>Tier 4 | 100% achievement
Bonus not achieved</t>
  </si>
  <si>
    <t>Sales team = Sales B
Sales period = August</t>
  </si>
  <si>
    <t>New hire</t>
  </si>
  <si>
    <r>
      <rPr>
        <b/>
        <sz val="11"/>
        <color theme="1"/>
        <rFont val="Calibri"/>
        <family val="2"/>
        <scheme val="minor"/>
      </rPr>
      <t xml:space="preserve">Sales team F
</t>
    </r>
    <r>
      <rPr>
        <sz val="11"/>
        <color theme="1"/>
        <rFont val="Calibri"/>
        <family val="2"/>
        <scheme val="minor"/>
      </rPr>
      <t>Join 01 August
Effective target 18 August</t>
    </r>
  </si>
  <si>
    <t>August target prorated 12/30
Achieved target in tier 1</t>
  </si>
  <si>
    <r>
      <t xml:space="preserve">Sales Team: B
Sales Period: </t>
    </r>
    <r>
      <rPr>
        <b/>
        <sz val="11"/>
        <rFont val="Calibri"/>
        <family val="2"/>
        <scheme val="minor"/>
      </rPr>
      <t>JULY</t>
    </r>
  </si>
  <si>
    <t>Visibility</t>
  </si>
  <si>
    <t>Salesperson logs in</t>
  </si>
  <si>
    <t>Only own incentive data visible</t>
  </si>
  <si>
    <t>Manager logs in</t>
  </si>
  <si>
    <t>Subordinate data visible</t>
  </si>
  <si>
    <t>Sales target cascade to sales team divided to 2 categories</t>
  </si>
  <si>
    <t>Steer Co Recap on incentive discussion:</t>
  </si>
  <si>
    <t>Kebijakan Refund (Business Risk)</t>
  </si>
  <si>
    <t>Eligibility on discount 35% applied for item line (not total invoice). For example:</t>
  </si>
  <si>
    <t>Type of Stock</t>
  </si>
  <si>
    <t>Work in Progress</t>
  </si>
  <si>
    <t>Payment Status</t>
  </si>
  <si>
    <t>Initiator</t>
  </si>
  <si>
    <t>Refund Policy</t>
  </si>
  <si>
    <t>Method</t>
  </si>
  <si>
    <t>Note</t>
  </si>
  <si>
    <t>Item</t>
  </si>
  <si>
    <t>Discount</t>
  </si>
  <si>
    <t>Price</t>
  </si>
  <si>
    <t>Total</t>
  </si>
  <si>
    <t>Rate</t>
  </si>
  <si>
    <t>Payout Incentive</t>
  </si>
  <si>
    <t>All Type of stock</t>
  </si>
  <si>
    <t>Partial/Fully Paid</t>
  </si>
  <si>
    <t>Customer</t>
  </si>
  <si>
    <t>No Refund</t>
  </si>
  <si>
    <t>Incentive-Based Target</t>
  </si>
  <si>
    <t>1,5% total</t>
  </si>
  <si>
    <t>Tiering</t>
  </si>
  <si>
    <t>Target attached to each active sales team</t>
  </si>
  <si>
    <t>Indent</t>
  </si>
  <si>
    <t>Bonus-Based Target</t>
  </si>
  <si>
    <t>tbd</t>
  </si>
  <si>
    <t>Target derived from vacant position</t>
  </si>
  <si>
    <t>Available stock</t>
  </si>
  <si>
    <t>Refund 99%</t>
  </si>
  <si>
    <t>&gt;&gt; not eligible</t>
  </si>
  <si>
    <t>Jasa Curtain</t>
  </si>
  <si>
    <t>Total incentives are sum of 2 categories</t>
  </si>
  <si>
    <t>Vania</t>
  </si>
  <si>
    <t>Based on agreement</t>
  </si>
  <si>
    <t>Basic logic to translate from branch number to each individual both target and incentives:</t>
  </si>
  <si>
    <t>Branch Incentives</t>
  </si>
  <si>
    <t>- 2H 2026 will use rolling forecast number from Head of Sales' number</t>
  </si>
  <si>
    <t>Individual Incentives</t>
  </si>
  <si>
    <t>- For 2027 budget using FTE (Full Time Equivalent) that divided into 3 levels and 2 business type</t>
  </si>
  <si>
    <t>Point 5: Simulation between full incentive-based target vs mixed (incentive-based + bonus based target)</t>
  </si>
  <si>
    <t>Total Incentives</t>
  </si>
  <si>
    <t>B2B BRANCH INCENTIVE</t>
  </si>
  <si>
    <t>B2C BRANCH INCENTIVE</t>
  </si>
  <si>
    <t>Scenario 1</t>
  </si>
  <si>
    <t>All achieved target using full incentive-based target</t>
  </si>
  <si>
    <t>Scenario 2</t>
  </si>
  <si>
    <t>Designation</t>
  </si>
  <si>
    <t>FTE</t>
  </si>
  <si>
    <t>Position</t>
  </si>
  <si>
    <t>Achieved target using mix incentive + bonus</t>
  </si>
  <si>
    <t>Sales Achievement</t>
  </si>
  <si>
    <t>Base Rate x Allocation</t>
  </si>
  <si>
    <t>B2B Lead</t>
  </si>
  <si>
    <t>Sales Manager</t>
  </si>
  <si>
    <t>B2C Lead</t>
  </si>
  <si>
    <t>Spv Showroom</t>
  </si>
  <si>
    <t>Level</t>
  </si>
  <si>
    <t>Tiering 75%</t>
  </si>
  <si>
    <t>Payout Rate</t>
  </si>
  <si>
    <t>B2B Team</t>
  </si>
  <si>
    <t>Sales Executive</t>
  </si>
  <si>
    <t>B2C Team</t>
  </si>
  <si>
    <t>CS</t>
  </si>
  <si>
    <t>Sales Person</t>
  </si>
  <si>
    <t>Incentive Target</t>
  </si>
  <si>
    <t>Bonus Target</t>
  </si>
  <si>
    <t>Total Target</t>
  </si>
  <si>
    <t>Incentive 110%</t>
  </si>
  <si>
    <t>Incentive 100%</t>
  </si>
  <si>
    <t>Bonus</t>
  </si>
  <si>
    <t>&lt;= 75%</t>
  </si>
  <si>
    <t>B2B Support</t>
  </si>
  <si>
    <t>Sales Support</t>
  </si>
  <si>
    <t>B2C Support</t>
  </si>
  <si>
    <t>75% - 84.9%</t>
  </si>
  <si>
    <t>of revenue achieved</t>
  </si>
  <si>
    <t>85% - 89.9%</t>
  </si>
  <si>
    <t>B2B INDIVIDUAL INCENTIVE</t>
  </si>
  <si>
    <t>B2C INDIVIDUAL INCENTIVE</t>
  </si>
  <si>
    <t>90% - 99.9%</t>
  </si>
  <si>
    <t>100% - 109.9%</t>
  </si>
  <si>
    <t>Resign</t>
  </si>
  <si>
    <t>&gt;=110%</t>
  </si>
  <si>
    <t>Point 6: Simulation for target movement for sales person resign, new hiring, and prorate target</t>
  </si>
  <si>
    <t>Sales person have visibility to track their own incentive calculation (not the payout due to tax impact)</t>
  </si>
  <si>
    <t>TARGET &amp; INCENTIVE SIMULATION</t>
  </si>
  <si>
    <t>Resigned/Vacant's target will be distributed based on FTE to existing sales team while waiting for new hiring</t>
  </si>
  <si>
    <t>JULY</t>
  </si>
  <si>
    <t>AGUSTUS</t>
  </si>
  <si>
    <t>SEPTEMBER SCENARIO 1</t>
  </si>
  <si>
    <t>SEPTEMBER SCENARIO 2 (DECISION)</t>
  </si>
  <si>
    <t>When Incentive-Based Target + Bonus-Based Target fully achieved, VIF will use Scenario 2:</t>
  </si>
  <si>
    <t>Original</t>
  </si>
  <si>
    <t>Target Sales</t>
  </si>
  <si>
    <t>Incentive-based target</t>
  </si>
  <si>
    <t>Tiering level 5 will not be applicable</t>
  </si>
  <si>
    <t>Bonus-based target</t>
  </si>
  <si>
    <t>Total Base Rate</t>
  </si>
  <si>
    <t>Refer to this calculation</t>
  </si>
  <si>
    <t>RESIGN</t>
  </si>
  <si>
    <t>Prorate target implemented if new hiring joined in mid month</t>
  </si>
  <si>
    <t>F</t>
  </si>
  <si>
    <t>Masuk tgl 15 Sep</t>
  </si>
  <si>
    <t>Decision Tree - Sequential</t>
  </si>
  <si>
    <t>Decision: SCENARIO 2</t>
  </si>
  <si>
    <t>Total Sales Achieve</t>
  </si>
  <si>
    <t>Base Rate Incentive</t>
  </si>
  <si>
    <t>Possible Pain Points</t>
  </si>
  <si>
    <t>Multi iteration calculation untuk periode lalu hingga semua SO pada periode lalu sudah di-paid</t>
  </si>
  <si>
    <t>VIF: how the system able to accommodate the capacity?</t>
  </si>
  <si>
    <t>LID: Odoo able to accommodate</t>
  </si>
  <si>
    <t>The system must acknowledge the eligible months for incentives?</t>
  </si>
  <si>
    <t>VIF: how to identify this?</t>
  </si>
  <si>
    <t>LID: by tagging month, able to track</t>
  </si>
  <si>
    <t>Need clear dashboard or simple metric for sales to monitor and track their incentives</t>
  </si>
  <si>
    <t>VIF: Can Odoo set N+1 and C-Level able to monitor their subordinate performance and incentive</t>
  </si>
  <si>
    <t>while each sales person able to view their own performance and incentive?</t>
  </si>
  <si>
    <t>Communication Letter to Sales Team:</t>
  </si>
  <si>
    <t>Odoo: Report access can be modified based on requirement</t>
  </si>
  <si>
    <t>ODOO INCENTIVE SETUP – SCENARIO MATRIX GUIDE</t>
  </si>
  <si>
    <t>Purpose</t>
  </si>
  <si>
    <t>Bridge between business incentive policy and Odoo functional/technical requirements.</t>
  </si>
  <si>
    <t>Primary use</t>
  </si>
  <si>
    <t>Finance and sales module, Odoo alignment, solution design, development scoping, UAT and go-live controls.</t>
  </si>
  <si>
    <t>Column</t>
  </si>
  <si>
    <t>Detailed explanation</t>
  </si>
  <si>
    <t>Unique scenario identifier for discussion, development and UAT sign-off.</t>
  </si>
  <si>
    <t>Scenario / Business Rule</t>
  </si>
  <si>
    <t>The business requirement or exception that Odoo must support.</t>
  </si>
  <si>
    <t>The event/data condition that activates the rule, e.g. achievement, payment, discount, refund, resignation or new hire.</t>
  </si>
  <si>
    <t>Odoo Setup / Object</t>
  </si>
  <si>
    <t>The Odoo object, configuration, automation or custom model supporting the rule.</t>
  </si>
  <si>
    <t>The functional logic Odoo must apply</t>
  </si>
  <si>
    <t>Expected Finance/Sales outcome and UAT acceptance result.</t>
  </si>
  <si>
    <t>Whether the requirement can reasonably be handled by standard Odoo.</t>
  </si>
  <si>
    <t>Whether custom development is recommended.</t>
  </si>
  <si>
    <t>Critical = required for correct calculation/go-live. High = important control/functionality.</t>
  </si>
  <si>
    <t>How to read the matrix</t>
  </si>
  <si>
    <t>S01–S03</t>
  </si>
  <si>
    <t>Target structure, target ownership and target allocation.</t>
  </si>
  <si>
    <t>S04–S06</t>
  </si>
  <si>
    <t>Core incentive engine: achievement tier, base rate and incentive components.</t>
  </si>
  <si>
    <t>Critical eligibility gate: invoice lines with discount &gt;35% are excluded from eligible incentive.</t>
  </si>
  <si>
    <t>S08–S09</t>
  </si>
  <si>
    <t>Payment-based mechanism: prior-period invoices become eligible when paid while retaining source-period tagging.</t>
  </si>
  <si>
    <t>S10–S12</t>
  </si>
  <si>
    <t>Refund/cancellation treatment and audit linkage to original incentive transactions.</t>
  </si>
  <si>
    <t>S13–S15</t>
  </si>
  <si>
    <t>Resignation, vacancy redistribution, new hire proration and effective-date target movement.</t>
  </si>
  <si>
    <t>S16–S18</t>
  </si>
  <si>
    <t>Scenario 1 vs Scenario 2 and special treatment of Tier 5 in mixed scenario.</t>
  </si>
  <si>
    <t>S19–S20</t>
  </si>
  <si>
    <t>Role-based visibility for salesperson and manager.</t>
  </si>
  <si>
    <t>S21–S22</t>
  </si>
  <si>
    <t>Period tagging, calculation versioning, auditability and Finance reconciliation.</t>
  </si>
  <si>
    <t>Recommended architecture</t>
  </si>
  <si>
    <t>Layer 1 – Transaction source</t>
  </si>
  <si>
    <t>Standard Odoo Sales, Invoice, Invoice Line, Payment, Credit Note, Employee and Sales Team.</t>
  </si>
  <si>
    <t>Layer 2 – Incentive master</t>
  </si>
  <si>
    <t>Custom Incentive Period, Incentive Target, Incentive Rule/Tier, Scenario and Refund Policy.</t>
  </si>
  <si>
    <t>Layer 3 – Incentive transaction</t>
  </si>
  <si>
    <t>Custom invoice-line-level transaction linked to salesperson, source period, payment period, eligibility and payout.</t>
  </si>
  <si>
    <t>Layer 4 – Adjustment</t>
  </si>
  <si>
    <t>Custom handling for refund, cancellation, resignation, vacancy redistribution, new hire and prior-period payment.</t>
  </si>
  <si>
    <t>Layer 5 – Reporting</t>
  </si>
  <si>
    <t>Salesperson/manager dashboard, Finance reconciliation and approved payout report.</t>
  </si>
  <si>
    <t>Key control principle</t>
  </si>
  <si>
    <t>Never overwrite historical incentive transactions. Use linked adjustment/reversal transactions for traceability.</t>
  </si>
  <si>
    <t>Key design principle</t>
  </si>
  <si>
    <t>Separate source transaction period, payment period and payout period to prevent historical reporting distortion.</t>
  </si>
  <si>
    <t>Step</t>
  </si>
  <si>
    <t>Process</t>
  </si>
  <si>
    <t>System Action</t>
  </si>
  <si>
    <t>Control / Output</t>
  </si>
  <si>
    <t>Set incentive period</t>
  </si>
  <si>
    <t>Create/open monthly incentive period</t>
  </si>
  <si>
    <t>One period only can be approved</t>
  </si>
  <si>
    <t>Load branch/team target</t>
  </si>
  <si>
    <t>Input rolling forecast</t>
  </si>
  <si>
    <t>Target version recorded</t>
  </si>
  <si>
    <t>Cascade target</t>
  </si>
  <si>
    <t>Calculate FTE allocation and/or plug in number</t>
  </si>
  <si>
    <t>Individual target generated</t>
  </si>
  <si>
    <t>Assign scenario</t>
  </si>
  <si>
    <t>Select Full Incentive or Mixed</t>
  </si>
  <si>
    <t>Scenario locked before calculation</t>
  </si>
  <si>
    <t>Capture sales performance</t>
  </si>
  <si>
    <t>Read posted invoice lines</t>
  </si>
  <si>
    <t>Factor in all discount and payment status</t>
  </si>
  <si>
    <t>Check achievement</t>
  </si>
  <si>
    <t>Compare actual eligible revenue vs target</t>
  </si>
  <si>
    <t>- Tag performance result (eligible/not eligible)
- Tier selected</t>
  </si>
  <si>
    <t>Capture fully paid invoice</t>
  </si>
  <si>
    <t>Read fully paid invoice in current period</t>
  </si>
  <si>
    <t>Check if respective month eligible for incentive</t>
  </si>
  <si>
    <t>Check discount eligibility</t>
  </si>
  <si>
    <t>Evaluate each  invoice line &lt;=35%</t>
  </si>
  <si>
    <t>Eligible flag</t>
  </si>
  <si>
    <t>Check payment</t>
  </si>
  <si>
    <t>Read payment status/date with "Fully Paid" status</t>
  </si>
  <si>
    <t>Payout eligibility determined</t>
  </si>
  <si>
    <t>Apply prior-period transactions</t>
  </si>
  <si>
    <t>Bring forward newly paid invoices</t>
  </si>
  <si>
    <t>Original incentive month retained</t>
  </si>
  <si>
    <t>Apply refund/cancel</t>
  </si>
  <si>
    <t>Create reversal/adjustment</t>
  </si>
  <si>
    <t>Linked to original transaction</t>
  </si>
  <si>
    <t>Handle resignation/new hire</t>
  </si>
  <si>
    <t>Reallocate/prorate target</t>
  </si>
  <si>
    <t>Effective-date audit trail</t>
  </si>
  <si>
    <t>Calculate payout</t>
  </si>
  <si>
    <t>Apply allocation/rate</t>
  </si>
  <si>
    <t>Calculation snapshot</t>
  </si>
  <si>
    <t>Review</t>
  </si>
  <si>
    <t>Salesperson/manager dashboard</t>
  </si>
  <si>
    <t>N+1 visibility</t>
  </si>
  <si>
    <t>Finance reconciliation</t>
  </si>
  <si>
    <t>Reconcile invoice, payment, credit note and incentive</t>
  </si>
  <si>
    <t>Approved payout file</t>
  </si>
  <si>
    <t>Freeze period</t>
  </si>
  <si>
    <t>Lock calculation</t>
  </si>
  <si>
    <t>No silent changes after approval</t>
  </si>
  <si>
    <t>Final payout calculation</t>
  </si>
  <si>
    <t>Visible for self-viewed sales person and C-Level</t>
  </si>
  <si>
    <t>Calculation must not change in the following months</t>
  </si>
  <si>
    <t>Odoo Object</t>
  </si>
  <si>
    <t>Key Fields</t>
  </si>
  <si>
    <t>Implementation</t>
  </si>
  <si>
    <t>Sales Team - Structure</t>
  </si>
  <si>
    <t>Branch to team hierarchy for FTE</t>
  </si>
  <si>
    <t>Business type, branch manager, sales team, sales support</t>
  </si>
  <si>
    <t>Setting in Odoo access role</t>
  </si>
  <si>
    <t>Sales Team - List of user</t>
  </si>
  <si>
    <t>Salesperson master</t>
  </si>
  <si>
    <t>Sales organization structure, sales person, c-level, effective target start date, employment status (active/resign)</t>
  </si>
  <si>
    <t>Odoo configuration</t>
  </si>
  <si>
    <t>Incentive Period</t>
  </si>
  <si>
    <t>Control incentive month</t>
  </si>
  <si>
    <t>Month, start date, end date, status, rule version
Multi-iteration impact</t>
  </si>
  <si>
    <t>Custom model</t>
  </si>
  <si>
    <r>
      <t xml:space="preserve">- Branch target cascaded to invidual
- </t>
    </r>
    <r>
      <rPr>
        <b/>
        <sz val="11"/>
        <color theme="1"/>
        <rFont val="Calibri"/>
        <family val="2"/>
        <scheme val="minor"/>
      </rPr>
      <t>Incentive-based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 xml:space="preserve">Bonus-based </t>
    </r>
    <r>
      <rPr>
        <sz val="11"/>
        <color theme="1"/>
        <rFont val="Calibri"/>
        <family val="2"/>
        <scheme val="minor"/>
      </rPr>
      <t>target</t>
    </r>
  </si>
  <si>
    <t>Employee, team, period, target type, amount, source</t>
  </si>
  <si>
    <t>Tier/rate master</t>
  </si>
  <si>
    <t>Achievement min/max, base rate, payout allocation %, sequential rules</t>
  </si>
  <si>
    <t>Incentive Transactions</t>
  </si>
  <si>
    <t>Sales invoice-level incentive basis</t>
  </si>
  <si>
    <t>Invoice line, sales person, original month, payment month, eligible flag, payout</t>
  </si>
  <si>
    <t>Target Movement</t>
  </si>
  <si>
    <t>Target transfer history due to:
- Rolling forecast (impact on incentive-based target)
- Sales team movement (impact on bonus-based target)</t>
  </si>
  <si>
    <t>Distribute target:
- From vacant to active employee
- From resigned employee to active employee
- Effective target start date</t>
  </si>
  <si>
    <t>Refund policy</t>
  </si>
  <si>
    <t>Refund rule matrix</t>
  </si>
  <si>
    <t>Payment status, initiator, refund %
Sales return of prior period will impact to current period</t>
  </si>
  <si>
    <t>Incentive data</t>
  </si>
  <si>
    <t>Invoice &amp; credit note source</t>
  </si>
  <si>
    <t>Invoice, line, discount, payment status, credit note link</t>
  </si>
  <si>
    <t>Payment trigger</t>
  </si>
  <si>
    <t>Payment date, invoice link, amount</t>
  </si>
  <si>
    <t>Dashboard / reporting</t>
  </si>
  <si>
    <t>User hierarchy, period, achievement, incentive</t>
  </si>
  <si>
    <t>Odoo dashboard
Custom reporting (if required)</t>
  </si>
  <si>
    <t>Status</t>
  </si>
  <si>
    <t>Meaning</t>
  </si>
  <si>
    <t>Can be achieved mainly through standard Odoo configuration/reporting</t>
  </si>
  <si>
    <t>Standard Odoo provides source data/access, but incentive logic requires configuration or development</t>
  </si>
  <si>
    <t>Custom model/automation/report is recommended</t>
  </si>
  <si>
    <t>Must be resolved for go-live</t>
  </si>
  <si>
    <t>Important but can be phased if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</si>
</sst>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\R\p\ #,##0"/>
  </numFmts>
  <fonts count="1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3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</font>
    <font>
      <i/>
      <sz val="8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27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6" fillId="0" borderId="0" xfId="0" applyFont="1"/>
    <xf numFmtId="0" fontId="0" fillId="0" borderId="0" xfId="0" applyAlignment="1">
      <alignment horizontal="center"/>
    </xf>
    <xf numFmtId="0" fontId="8" fillId="2" borderId="0" xfId="0" applyFont="1" applyFill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8" fillId="2" borderId="10" xfId="0" applyFont="1" applyFill="1" applyBorder="1" applyAlignment="1">
      <alignment horizontal="center" vertical="top" wrapText="1"/>
    </xf>
    <xf numFmtId="0" fontId="8" fillId="2" borderId="11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0" fillId="0" borderId="0" xfId="0" quotePrefix="1" applyAlignment="1">
      <alignment vertical="top" wrapText="1"/>
    </xf>
    <xf numFmtId="0" fontId="4" fillId="0" borderId="0" xfId="0" applyFont="1"/>
    <xf numFmtId="0" fontId="5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9" fontId="0" fillId="0" borderId="0" xfId="0" applyNumberFormat="1" applyAlignment="1">
      <alignment vertical="top" wrapText="1"/>
    </xf>
    <xf numFmtId="9" fontId="0" fillId="0" borderId="8" xfId="0" applyNumberFormat="1" applyBorder="1" applyAlignment="1">
      <alignment vertical="top" wrapText="1"/>
    </xf>
    <xf numFmtId="9" fontId="0" fillId="0" borderId="3" xfId="0" applyNumberFormat="1" applyBorder="1" applyAlignment="1">
      <alignment vertical="top" wrapText="1"/>
    </xf>
    <xf numFmtId="10" fontId="0" fillId="0" borderId="0" xfId="0" applyNumberFormat="1" applyAlignment="1">
      <alignment vertical="top" wrapText="1"/>
    </xf>
    <xf numFmtId="9" fontId="0" fillId="0" borderId="3" xfId="2" applyFont="1" applyBorder="1" applyAlignment="1">
      <alignment vertical="top" wrapText="1"/>
    </xf>
    <xf numFmtId="10" fontId="0" fillId="0" borderId="0" xfId="2" applyNumberFormat="1" applyFont="1" applyBorder="1" applyAlignment="1">
      <alignment vertical="top" wrapText="1"/>
    </xf>
    <xf numFmtId="10" fontId="0" fillId="0" borderId="8" xfId="2" applyNumberFormat="1" applyFont="1" applyBorder="1" applyAlignment="1">
      <alignment vertical="top" wrapText="1"/>
    </xf>
    <xf numFmtId="10" fontId="0" fillId="0" borderId="8" xfId="0" applyNumberFormat="1" applyBorder="1" applyAlignment="1">
      <alignment vertical="top" wrapText="1"/>
    </xf>
    <xf numFmtId="0" fontId="8" fillId="2" borderId="2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165" fontId="0" fillId="0" borderId="0" xfId="0" applyNumberFormat="1"/>
    <xf numFmtId="165" fontId="0" fillId="0" borderId="3" xfId="1" applyNumberFormat="1" applyFont="1" applyBorder="1"/>
    <xf numFmtId="165" fontId="0" fillId="0" borderId="4" xfId="1" applyNumberFormat="1" applyFont="1" applyBorder="1"/>
    <xf numFmtId="0" fontId="0" fillId="0" borderId="5" xfId="0" applyBorder="1"/>
    <xf numFmtId="165" fontId="0" fillId="0" borderId="0" xfId="1" applyNumberFormat="1" applyFont="1" applyBorder="1"/>
    <xf numFmtId="165" fontId="0" fillId="0" borderId="6" xfId="1" applyNumberFormat="1" applyFont="1" applyBorder="1"/>
    <xf numFmtId="165" fontId="0" fillId="0" borderId="0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8" fillId="2" borderId="11" xfId="0" applyFont="1" applyFill="1" applyBorder="1" applyAlignment="1">
      <alignment horizontal="center" vertical="center" wrapText="1"/>
    </xf>
    <xf numFmtId="165" fontId="0" fillId="6" borderId="0" xfId="1" applyNumberFormat="1" applyFont="1" applyFill="1" applyBorder="1"/>
    <xf numFmtId="165" fontId="10" fillId="6" borderId="0" xfId="1" applyNumberFormat="1" applyFont="1" applyFill="1" applyBorder="1" applyAlignment="1">
      <alignment horizontal="center"/>
    </xf>
    <xf numFmtId="165" fontId="0" fillId="6" borderId="8" xfId="0" applyNumberFormat="1" applyFill="1" applyBorder="1"/>
    <xf numFmtId="165" fontId="0" fillId="6" borderId="8" xfId="1" applyNumberFormat="1" applyFont="1" applyFill="1" applyBorder="1"/>
    <xf numFmtId="165" fontId="10" fillId="6" borderId="8" xfId="1" applyNumberFormat="1" applyFont="1" applyFill="1" applyBorder="1" applyAlignment="1">
      <alignment horizontal="center"/>
    </xf>
    <xf numFmtId="165" fontId="10" fillId="6" borderId="0" xfId="1" applyNumberFormat="1" applyFont="1" applyFill="1" applyBorder="1" applyAlignment="1">
      <alignment vertical="top" wrapText="1"/>
    </xf>
    <xf numFmtId="165" fontId="10" fillId="6" borderId="8" xfId="1" applyNumberFormat="1" applyFont="1" applyFill="1" applyBorder="1" applyAlignment="1">
      <alignment vertical="top" wrapText="1"/>
    </xf>
    <xf numFmtId="165" fontId="0" fillId="0" borderId="0" xfId="1" applyNumberFormat="1" applyFont="1" applyFill="1" applyBorder="1"/>
    <xf numFmtId="165" fontId="0" fillId="0" borderId="2" xfId="1" applyNumberFormat="1" applyFont="1" applyBorder="1"/>
    <xf numFmtId="165" fontId="0" fillId="0" borderId="5" xfId="1" applyNumberFormat="1" applyFont="1" applyBorder="1"/>
    <xf numFmtId="0" fontId="8" fillId="2" borderId="1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11" fillId="6" borderId="14" xfId="0" applyFont="1" applyFill="1" applyBorder="1"/>
    <xf numFmtId="0" fontId="11" fillId="6" borderId="15" xfId="0" applyFont="1" applyFill="1" applyBorder="1"/>
    <xf numFmtId="0" fontId="0" fillId="0" borderId="15" xfId="0" applyBorder="1"/>
    <xf numFmtId="0" fontId="0" fillId="6" borderId="14" xfId="0" applyFill="1" applyBorder="1"/>
    <xf numFmtId="0" fontId="0" fillId="6" borderId="15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165" fontId="0" fillId="0" borderId="5" xfId="1" applyNumberFormat="1" applyFont="1" applyFill="1" applyBorder="1" applyAlignment="1">
      <alignment horizontal="center"/>
    </xf>
    <xf numFmtId="165" fontId="0" fillId="0" borderId="0" xfId="1" applyNumberFormat="1" applyFont="1" applyFill="1" applyBorder="1" applyAlignment="1">
      <alignment horizontal="center"/>
    </xf>
    <xf numFmtId="165" fontId="10" fillId="0" borderId="0" xfId="1" applyNumberFormat="1" applyFont="1" applyFill="1" applyBorder="1" applyAlignment="1">
      <alignment horizontal="center"/>
    </xf>
    <xf numFmtId="0" fontId="11" fillId="0" borderId="14" xfId="0" applyFont="1" applyBorder="1"/>
    <xf numFmtId="0" fontId="12" fillId="0" borderId="14" xfId="3" applyFill="1" applyBorder="1" applyAlignment="1">
      <alignment horizontal="center"/>
    </xf>
    <xf numFmtId="165" fontId="10" fillId="7" borderId="0" xfId="1" applyNumberFormat="1" applyFont="1" applyFill="1" applyBorder="1" applyAlignment="1">
      <alignment horizontal="center"/>
    </xf>
    <xf numFmtId="0" fontId="11" fillId="7" borderId="14" xfId="0" applyFont="1" applyFill="1" applyBorder="1"/>
    <xf numFmtId="0" fontId="12" fillId="7" borderId="14" xfId="3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165" fontId="0" fillId="7" borderId="0" xfId="1" applyNumberFormat="1" applyFont="1" applyFill="1" applyBorder="1" applyAlignment="1">
      <alignment horizontal="center"/>
    </xf>
    <xf numFmtId="165" fontId="0" fillId="7" borderId="0" xfId="1" applyNumberFormat="1" applyFont="1" applyFill="1" applyBorder="1"/>
    <xf numFmtId="165" fontId="5" fillId="7" borderId="0" xfId="1" applyNumberFormat="1" applyFont="1" applyFill="1" applyBorder="1"/>
    <xf numFmtId="165" fontId="14" fillId="7" borderId="0" xfId="1" applyNumberFormat="1" applyFont="1" applyFill="1" applyBorder="1" applyAlignment="1">
      <alignment horizontal="center"/>
    </xf>
    <xf numFmtId="0" fontId="5" fillId="7" borderId="0" xfId="1" applyNumberFormat="1" applyFont="1" applyFill="1" applyBorder="1" applyAlignment="1">
      <alignment horizontal="center"/>
    </xf>
    <xf numFmtId="165" fontId="5" fillId="7" borderId="0" xfId="1" applyNumberFormat="1" applyFont="1" applyFill="1" applyBorder="1" applyAlignment="1">
      <alignment horizontal="center"/>
    </xf>
    <xf numFmtId="0" fontId="0" fillId="7" borderId="0" xfId="0" applyFill="1"/>
    <xf numFmtId="165" fontId="0" fillId="7" borderId="0" xfId="1" applyNumberFormat="1" applyFont="1" applyFill="1"/>
    <xf numFmtId="165" fontId="14" fillId="7" borderId="0" xfId="1" applyNumberFormat="1" applyFont="1" applyFill="1" applyBorder="1" applyAlignment="1">
      <alignment horizontal="left" vertical="top" wrapText="1"/>
    </xf>
    <xf numFmtId="165" fontId="10" fillId="7" borderId="0" xfId="1" applyNumberFormat="1" applyFont="1" applyFill="1" applyBorder="1" applyAlignment="1">
      <alignment horizontal="left" vertical="top" wrapText="1"/>
    </xf>
    <xf numFmtId="165" fontId="10" fillId="7" borderId="0" xfId="1" applyNumberFormat="1" applyFont="1" applyFill="1" applyBorder="1" applyAlignment="1">
      <alignment vertical="top" wrapText="1"/>
    </xf>
    <xf numFmtId="165" fontId="10" fillId="0" borderId="0" xfId="1" applyNumberFormat="1" applyFont="1" applyFill="1" applyBorder="1" applyAlignment="1">
      <alignment horizontal="left" vertical="top" wrapText="1"/>
    </xf>
    <xf numFmtId="165" fontId="14" fillId="7" borderId="0" xfId="1" applyNumberFormat="1" applyFont="1" applyFill="1" applyBorder="1" applyAlignment="1">
      <alignment vertical="top" wrapText="1"/>
    </xf>
    <xf numFmtId="0" fontId="0" fillId="5" borderId="0" xfId="0" applyFill="1"/>
    <xf numFmtId="0" fontId="0" fillId="0" borderId="0" xfId="0" applyAlignment="1">
      <alignment vertical="center"/>
    </xf>
    <xf numFmtId="0" fontId="8" fillId="2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top" wrapText="1"/>
    </xf>
    <xf numFmtId="0" fontId="12" fillId="5" borderId="16" xfId="3" applyFill="1" applyBorder="1" applyAlignment="1">
      <alignment horizontal="center" vertical="top" wrapText="1"/>
    </xf>
    <xf numFmtId="165" fontId="0" fillId="0" borderId="16" xfId="1" applyNumberFormat="1" applyFont="1" applyBorder="1" applyAlignment="1">
      <alignment vertical="top" wrapText="1"/>
    </xf>
    <xf numFmtId="0" fontId="0" fillId="5" borderId="16" xfId="0" applyFill="1" applyBorder="1" applyAlignment="1">
      <alignment horizontal="center" vertical="top" wrapText="1"/>
    </xf>
    <xf numFmtId="0" fontId="4" fillId="0" borderId="16" xfId="0" applyFont="1" applyBorder="1" applyAlignment="1">
      <alignment vertical="top" wrapText="1"/>
    </xf>
    <xf numFmtId="165" fontId="0" fillId="0" borderId="16" xfId="1" applyNumberFormat="1" applyFont="1" applyBorder="1"/>
    <xf numFmtId="0" fontId="6" fillId="0" borderId="16" xfId="0" applyFont="1" applyBorder="1" applyAlignment="1">
      <alignment vertical="top" wrapText="1"/>
    </xf>
    <xf numFmtId="0" fontId="6" fillId="5" borderId="16" xfId="0" applyFont="1" applyFill="1" applyBorder="1" applyAlignment="1">
      <alignment horizontal="center" vertical="top" wrapText="1"/>
    </xf>
    <xf numFmtId="165" fontId="6" fillId="0" borderId="16" xfId="1" applyNumberFormat="1" applyFont="1" applyBorder="1" applyAlignment="1">
      <alignment vertical="top" wrapText="1"/>
    </xf>
    <xf numFmtId="0" fontId="0" fillId="0" borderId="16" xfId="0" applyBorder="1"/>
    <xf numFmtId="0" fontId="0" fillId="5" borderId="16" xfId="0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6" xfId="0" applyBorder="1"/>
    <xf numFmtId="0" fontId="0" fillId="0" borderId="9" xfId="0" applyBorder="1"/>
    <xf numFmtId="0" fontId="0" fillId="7" borderId="14" xfId="0" applyFill="1" applyBorder="1"/>
    <xf numFmtId="0" fontId="5" fillId="7" borderId="14" xfId="0" applyFont="1" applyFill="1" applyBorder="1"/>
    <xf numFmtId="0" fontId="10" fillId="7" borderId="14" xfId="0" applyFont="1" applyFill="1" applyBorder="1" applyAlignment="1">
      <alignment horizontal="right"/>
    </xf>
    <xf numFmtId="0" fontId="13" fillId="7" borderId="14" xfId="0" applyFont="1" applyFill="1" applyBorder="1"/>
    <xf numFmtId="165" fontId="3" fillId="7" borderId="0" xfId="1" applyNumberFormat="1" applyFont="1" applyFill="1" applyBorder="1"/>
    <xf numFmtId="0" fontId="7" fillId="4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top" wrapText="1"/>
    </xf>
    <xf numFmtId="0" fontId="5" fillId="0" borderId="16" xfId="0" applyFont="1" applyBorder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20" xfId="0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0" borderId="21" xfId="0" applyBorder="1"/>
    <xf numFmtId="0" fontId="0" fillId="0" borderId="16" xfId="0" applyBorder="1" applyAlignment="1">
      <alignment horizontal="center"/>
    </xf>
    <xf numFmtId="9" fontId="0" fillId="0" borderId="16" xfId="0" applyNumberFormat="1" applyBorder="1"/>
    <xf numFmtId="10" fontId="0" fillId="0" borderId="16" xfId="0" applyNumberFormat="1" applyBorder="1"/>
    <xf numFmtId="0" fontId="0" fillId="9" borderId="16" xfId="0" applyFill="1" applyBorder="1"/>
    <xf numFmtId="0" fontId="0" fillId="0" borderId="22" xfId="0" applyBorder="1" applyAlignment="1">
      <alignment horizontal="center"/>
    </xf>
    <xf numFmtId="0" fontId="0" fillId="0" borderId="23" xfId="0" applyBorder="1"/>
    <xf numFmtId="10" fontId="0" fillId="0" borderId="23" xfId="0" applyNumberFormat="1" applyBorder="1" applyAlignment="1">
      <alignment horizontal="center"/>
    </xf>
    <xf numFmtId="0" fontId="0" fillId="0" borderId="24" xfId="0" applyBorder="1"/>
    <xf numFmtId="0" fontId="0" fillId="10" borderId="16" xfId="0" applyFill="1" applyBorder="1" applyAlignment="1">
      <alignment horizontal="center"/>
    </xf>
    <xf numFmtId="9" fontId="0" fillId="10" borderId="16" xfId="0" applyNumberFormat="1" applyFill="1" applyBorder="1"/>
    <xf numFmtId="165" fontId="0" fillId="10" borderId="16" xfId="1" applyNumberFormat="1" applyFont="1" applyFill="1" applyBorder="1"/>
    <xf numFmtId="10" fontId="0" fillId="10" borderId="16" xfId="0" applyNumberFormat="1" applyFill="1" applyBorder="1"/>
    <xf numFmtId="0" fontId="0" fillId="10" borderId="16" xfId="0" applyFill="1" applyBorder="1"/>
    <xf numFmtId="165" fontId="0" fillId="0" borderId="16" xfId="0" applyNumberFormat="1" applyBorder="1"/>
    <xf numFmtId="0" fontId="0" fillId="0" borderId="0" xfId="0" quotePrefix="1"/>
    <xf numFmtId="0" fontId="0" fillId="11" borderId="22" xfId="0" applyFill="1" applyBorder="1"/>
    <xf numFmtId="0" fontId="5" fillId="11" borderId="23" xfId="0" applyFont="1" applyFill="1" applyBorder="1"/>
    <xf numFmtId="10" fontId="5" fillId="11" borderId="23" xfId="0" applyNumberFormat="1" applyFont="1" applyFill="1" applyBorder="1" applyAlignment="1">
      <alignment horizontal="center"/>
    </xf>
    <xf numFmtId="0" fontId="0" fillId="11" borderId="24" xfId="0" applyFill="1" applyBorder="1"/>
    <xf numFmtId="0" fontId="5" fillId="11" borderId="20" xfId="0" applyFont="1" applyFill="1" applyBorder="1" applyAlignment="1">
      <alignment horizontal="center"/>
    </xf>
    <xf numFmtId="0" fontId="5" fillId="11" borderId="16" xfId="0" applyFont="1" applyFill="1" applyBorder="1" applyAlignment="1">
      <alignment horizontal="center"/>
    </xf>
    <xf numFmtId="0" fontId="5" fillId="11" borderId="21" xfId="0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165" fontId="0" fillId="9" borderId="14" xfId="1" applyNumberFormat="1" applyFont="1" applyFill="1" applyBorder="1" applyAlignment="1">
      <alignment horizontal="center"/>
    </xf>
    <xf numFmtId="165" fontId="0" fillId="9" borderId="6" xfId="0" applyNumberFormat="1" applyFill="1" applyBorder="1"/>
    <xf numFmtId="0" fontId="16" fillId="0" borderId="0" xfId="0" applyFont="1" applyAlignment="1">
      <alignment horizontal="center"/>
    </xf>
    <xf numFmtId="0" fontId="0" fillId="0" borderId="20" xfId="0" applyBorder="1"/>
    <xf numFmtId="0" fontId="0" fillId="0" borderId="21" xfId="0" applyBorder="1" applyAlignment="1">
      <alignment horizontal="left"/>
    </xf>
    <xf numFmtId="10" fontId="0" fillId="0" borderId="15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13" fillId="8" borderId="17" xfId="0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 wrapText="1"/>
    </xf>
    <xf numFmtId="0" fontId="13" fillId="8" borderId="1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66" fontId="6" fillId="0" borderId="16" xfId="0" applyNumberFormat="1" applyFont="1" applyBorder="1" applyAlignment="1">
      <alignment vertical="center"/>
    </xf>
    <xf numFmtId="10" fontId="6" fillId="0" borderId="16" xfId="0" applyNumberFormat="1" applyFont="1" applyBorder="1" applyAlignment="1">
      <alignment horizontal="center" vertical="center"/>
    </xf>
    <xf numFmtId="9" fontId="6" fillId="13" borderId="16" xfId="0" applyNumberFormat="1" applyFont="1" applyFill="1" applyBorder="1" applyAlignment="1">
      <alignment horizontal="center" vertical="center"/>
    </xf>
    <xf numFmtId="10" fontId="6" fillId="13" borderId="16" xfId="0" applyNumberFormat="1" applyFont="1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left"/>
    </xf>
    <xf numFmtId="0" fontId="0" fillId="14" borderId="2" xfId="0" applyFill="1" applyBorder="1" applyAlignment="1">
      <alignment horizontal="center"/>
    </xf>
    <xf numFmtId="165" fontId="0" fillId="14" borderId="13" xfId="1" applyNumberFormat="1" applyFont="1" applyFill="1" applyBorder="1"/>
    <xf numFmtId="165" fontId="0" fillId="0" borderId="13" xfId="1" applyNumberFormat="1" applyFont="1" applyBorder="1"/>
    <xf numFmtId="0" fontId="0" fillId="14" borderId="5" xfId="0" applyFill="1" applyBorder="1" applyAlignment="1">
      <alignment horizontal="center"/>
    </xf>
    <xf numFmtId="165" fontId="0" fillId="14" borderId="14" xfId="1" applyNumberFormat="1" applyFont="1" applyFill="1" applyBorder="1"/>
    <xf numFmtId="165" fontId="0" fillId="0" borderId="14" xfId="1" applyNumberFormat="1" applyFont="1" applyBorder="1"/>
    <xf numFmtId="0" fontId="4" fillId="0" borderId="7" xfId="0" applyFont="1" applyBorder="1" applyAlignment="1">
      <alignment horizontal="center"/>
    </xf>
    <xf numFmtId="165" fontId="4" fillId="0" borderId="15" xfId="1" applyNumberFormat="1" applyFont="1" applyBorder="1"/>
    <xf numFmtId="0" fontId="4" fillId="0" borderId="15" xfId="0" applyFont="1" applyBorder="1" applyAlignment="1">
      <alignment horizontal="center"/>
    </xf>
    <xf numFmtId="166" fontId="6" fillId="0" borderId="23" xfId="0" applyNumberFormat="1" applyFont="1" applyBorder="1" applyAlignment="1">
      <alignment vertical="center"/>
    </xf>
    <xf numFmtId="10" fontId="6" fillId="0" borderId="23" xfId="0" applyNumberFormat="1" applyFont="1" applyBorder="1" applyAlignment="1">
      <alignment horizontal="center" vertical="center"/>
    </xf>
    <xf numFmtId="9" fontId="6" fillId="13" borderId="23" xfId="0" applyNumberFormat="1" applyFont="1" applyFill="1" applyBorder="1" applyAlignment="1">
      <alignment horizontal="center" vertical="center"/>
    </xf>
    <xf numFmtId="10" fontId="6" fillId="13" borderId="2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25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10" xfId="0" applyFont="1" applyBorder="1"/>
    <xf numFmtId="0" fontId="5" fillId="0" borderId="12" xfId="0" applyFont="1" applyBorder="1"/>
    <xf numFmtId="0" fontId="0" fillId="0" borderId="33" xfId="0" applyBorder="1" applyAlignment="1">
      <alignment horizontal="center"/>
    </xf>
    <xf numFmtId="165" fontId="0" fillId="0" borderId="25" xfId="1" applyNumberFormat="1" applyFont="1" applyFill="1" applyBorder="1"/>
    <xf numFmtId="165" fontId="0" fillId="0" borderId="34" xfId="1" applyNumberFormat="1" applyFont="1" applyFill="1" applyBorder="1"/>
    <xf numFmtId="165" fontId="0" fillId="0" borderId="18" xfId="0" applyNumberFormat="1" applyBorder="1"/>
    <xf numFmtId="165" fontId="0" fillId="0" borderId="19" xfId="0" applyNumberFormat="1" applyBorder="1"/>
    <xf numFmtId="165" fontId="0" fillId="0" borderId="35" xfId="1" applyNumberFormat="1" applyFont="1" applyFill="1" applyBorder="1"/>
    <xf numFmtId="165" fontId="0" fillId="0" borderId="36" xfId="0" applyNumberFormat="1" applyBorder="1"/>
    <xf numFmtId="165" fontId="0" fillId="14" borderId="37" xfId="0" applyNumberFormat="1" applyFill="1" applyBorder="1"/>
    <xf numFmtId="165" fontId="0" fillId="0" borderId="38" xfId="1" applyNumberFormat="1" applyFont="1" applyFill="1" applyBorder="1"/>
    <xf numFmtId="10" fontId="0" fillId="0" borderId="6" xfId="0" applyNumberFormat="1" applyBorder="1"/>
    <xf numFmtId="0" fontId="0" fillId="0" borderId="39" xfId="0" applyBorder="1" applyAlignment="1">
      <alignment horizontal="center"/>
    </xf>
    <xf numFmtId="165" fontId="0" fillId="0" borderId="40" xfId="1" applyNumberFormat="1" applyFont="1" applyFill="1" applyBorder="1"/>
    <xf numFmtId="165" fontId="0" fillId="0" borderId="41" xfId="1" applyNumberFormat="1" applyFont="1" applyFill="1" applyBorder="1"/>
    <xf numFmtId="165" fontId="0" fillId="0" borderId="21" xfId="0" applyNumberFormat="1" applyBorder="1"/>
    <xf numFmtId="165" fontId="0" fillId="14" borderId="21" xfId="0" applyNumberFormat="1" applyFill="1" applyBorder="1"/>
    <xf numFmtId="165" fontId="0" fillId="0" borderId="20" xfId="1" applyNumberFormat="1" applyFont="1" applyFill="1" applyBorder="1"/>
    <xf numFmtId="9" fontId="0" fillId="0" borderId="6" xfId="0" applyNumberFormat="1" applyBorder="1"/>
    <xf numFmtId="10" fontId="5" fillId="0" borderId="12" xfId="0" applyNumberFormat="1" applyFont="1" applyBorder="1"/>
    <xf numFmtId="0" fontId="12" fillId="0" borderId="0" xfId="3"/>
    <xf numFmtId="165" fontId="4" fillId="0" borderId="42" xfId="1" applyNumberFormat="1" applyFont="1" applyBorder="1"/>
    <xf numFmtId="0" fontId="4" fillId="0" borderId="4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165" fontId="6" fillId="0" borderId="41" xfId="1" applyNumberFormat="1" applyFont="1" applyBorder="1"/>
    <xf numFmtId="165" fontId="6" fillId="0" borderId="20" xfId="1" applyNumberFormat="1" applyFont="1" applyBorder="1"/>
    <xf numFmtId="164" fontId="0" fillId="0" borderId="16" xfId="1" applyFont="1" applyBorder="1"/>
    <xf numFmtId="0" fontId="0" fillId="0" borderId="43" xfId="0" applyBorder="1" applyAlignment="1">
      <alignment horizontal="center"/>
    </xf>
    <xf numFmtId="0" fontId="10" fillId="0" borderId="29" xfId="0" applyFont="1" applyBorder="1"/>
    <xf numFmtId="165" fontId="6" fillId="0" borderId="44" xfId="1" applyNumberFormat="1" applyFont="1" applyFill="1" applyBorder="1"/>
    <xf numFmtId="165" fontId="0" fillId="0" borderId="23" xfId="0" applyNumberFormat="1" applyBorder="1"/>
    <xf numFmtId="165" fontId="0" fillId="0" borderId="24" xfId="0" applyNumberFormat="1" applyBorder="1"/>
    <xf numFmtId="165" fontId="6" fillId="0" borderId="44" xfId="1" applyNumberFormat="1" applyFont="1" applyBorder="1"/>
    <xf numFmtId="165" fontId="0" fillId="14" borderId="24" xfId="0" applyNumberFormat="1" applyFill="1" applyBorder="1"/>
    <xf numFmtId="165" fontId="6" fillId="0" borderId="22" xfId="1" applyNumberFormat="1" applyFont="1" applyBorder="1"/>
    <xf numFmtId="0" fontId="0" fillId="15" borderId="0" xfId="0" applyFill="1"/>
    <xf numFmtId="165" fontId="5" fillId="15" borderId="5" xfId="0" applyNumberFormat="1" applyFont="1" applyFill="1" applyBorder="1"/>
    <xf numFmtId="165" fontId="5" fillId="15" borderId="0" xfId="0" applyNumberFormat="1" applyFont="1" applyFill="1"/>
    <xf numFmtId="165" fontId="5" fillId="15" borderId="6" xfId="0" applyNumberFormat="1" applyFont="1" applyFill="1" applyBorder="1"/>
    <xf numFmtId="10" fontId="0" fillId="0" borderId="5" xfId="0" applyNumberFormat="1" applyBorder="1"/>
    <xf numFmtId="9" fontId="0" fillId="0" borderId="0" xfId="0" applyNumberFormat="1"/>
    <xf numFmtId="10" fontId="0" fillId="0" borderId="0" xfId="0" applyNumberFormat="1"/>
    <xf numFmtId="165" fontId="5" fillId="5" borderId="7" xfId="0" applyNumberFormat="1" applyFont="1" applyFill="1" applyBorder="1"/>
    <xf numFmtId="165" fontId="5" fillId="5" borderId="8" xfId="0" applyNumberFormat="1" applyFont="1" applyFill="1" applyBorder="1"/>
    <xf numFmtId="0" fontId="5" fillId="5" borderId="9" xfId="0" applyFont="1" applyFill="1" applyBorder="1"/>
    <xf numFmtId="0" fontId="6" fillId="0" borderId="0" xfId="0" applyFont="1" applyAlignment="1">
      <alignment horizontal="left" vertical="center"/>
    </xf>
    <xf numFmtId="0" fontId="17" fillId="0" borderId="0" xfId="0" applyFont="1"/>
    <xf numFmtId="0" fontId="2" fillId="3" borderId="16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8" fillId="2" borderId="11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9" borderId="26" xfId="0" applyFont="1" applyFill="1" applyBorder="1" applyAlignment="1">
      <alignment horizontal="center"/>
    </xf>
    <xf numFmtId="0" fontId="5" fillId="9" borderId="27" xfId="0" applyFont="1" applyFill="1" applyBorder="1" applyAlignment="1">
      <alignment horizontal="center"/>
    </xf>
    <xf numFmtId="0" fontId="5" fillId="9" borderId="28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5" fillId="12" borderId="17" xfId="0" applyFont="1" applyFill="1" applyBorder="1" applyAlignment="1">
      <alignment horizontal="center"/>
    </xf>
    <xf numFmtId="0" fontId="5" fillId="12" borderId="18" xfId="0" applyFont="1" applyFill="1" applyBorder="1" applyAlignment="1">
      <alignment horizontal="center"/>
    </xf>
    <xf numFmtId="0" fontId="5" fillId="12" borderId="19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128113</xdr:colOff>
      <xdr:row>36</xdr:row>
      <xdr:rowOff>139256</xdr:rowOff>
    </xdr:from>
    <xdr:to>
      <xdr:col>2</xdr:col>
      <xdr:colOff>309512</xdr:colOff>
      <xdr:row>39</xdr:row>
      <xdr:rowOff>64839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F7CF6ED-C83C-438C-9408-649B923AD709}"/>
            </a:ext>
          </a:extLst>
        </xdr:cNvPr>
        <xdr:cNvSpPr/>
      </xdr:nvSpPr>
      <xdr:spPr>
        <a:xfrm>
          <a:off x="128113" y="7073456"/>
          <a:ext cx="765599" cy="478033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>
              <a:solidFill>
                <a:sysClr val="windowText" lastClr="000000"/>
              </a:solidFill>
            </a:rPr>
            <a:t>Is target achieved?</a:t>
          </a:r>
        </a:p>
      </xdr:txBody>
    </xdr:sp>
    <xdr:clientData/>
  </xdr:twoCellAnchor>
  <xdr:twoCellAnchor>
    <xdr:from>
      <xdr:col>2</xdr:col>
      <xdr:colOff>1036057</xdr:colOff>
      <xdr:row>36</xdr:row>
      <xdr:rowOff>141261</xdr:rowOff>
    </xdr:from>
    <xdr:to>
      <xdr:col>3</xdr:col>
      <xdr:colOff>596013</xdr:colOff>
      <xdr:row>39</xdr:row>
      <xdr:rowOff>66844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D64CBBF-9B46-4173-AA51-8A25796195C1}"/>
            </a:ext>
          </a:extLst>
        </xdr:cNvPr>
        <xdr:cNvSpPr/>
      </xdr:nvSpPr>
      <xdr:spPr>
        <a:xfrm>
          <a:off x="1620257" y="7075461"/>
          <a:ext cx="956956" cy="478033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>
              <a:solidFill>
                <a:sysClr val="windowText" lastClr="000000"/>
              </a:solidFill>
            </a:rPr>
            <a:t>Is invoice </a:t>
          </a:r>
          <a:r>
            <a:rPr lang="en-ID" sz="1100" b="1">
              <a:solidFill>
                <a:sysClr val="windowText" lastClr="000000"/>
              </a:solidFill>
            </a:rPr>
            <a:t>fully</a:t>
          </a:r>
          <a:r>
            <a:rPr lang="en-ID" sz="1100">
              <a:solidFill>
                <a:sysClr val="windowText" lastClr="000000"/>
              </a:solidFill>
            </a:rPr>
            <a:t> paid?</a:t>
          </a:r>
        </a:p>
      </xdr:txBody>
    </xdr:sp>
    <xdr:clientData/>
  </xdr:twoCellAnchor>
  <xdr:twoCellAnchor>
    <xdr:from>
      <xdr:col>4</xdr:col>
      <xdr:colOff>707414</xdr:colOff>
      <xdr:row>36</xdr:row>
      <xdr:rowOff>137696</xdr:rowOff>
    </xdr:from>
    <xdr:to>
      <xdr:col>5</xdr:col>
      <xdr:colOff>966446</xdr:colOff>
      <xdr:row>39</xdr:row>
      <xdr:rowOff>63279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1D852AE-DB3D-47A1-B817-76AB3884B430}"/>
            </a:ext>
          </a:extLst>
        </xdr:cNvPr>
        <xdr:cNvSpPr/>
      </xdr:nvSpPr>
      <xdr:spPr>
        <a:xfrm>
          <a:off x="3374414" y="7071896"/>
          <a:ext cx="995632" cy="478033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>
              <a:solidFill>
                <a:sysClr val="windowText" lastClr="000000"/>
              </a:solidFill>
            </a:rPr>
            <a:t>Is item line max 35%?</a:t>
          </a:r>
        </a:p>
      </xdr:txBody>
    </xdr:sp>
    <xdr:clientData/>
  </xdr:twoCellAnchor>
  <xdr:twoCellAnchor>
    <xdr:from>
      <xdr:col>2</xdr:col>
      <xdr:colOff>467894</xdr:colOff>
      <xdr:row>37</xdr:row>
      <xdr:rowOff>38991</xdr:rowOff>
    </xdr:from>
    <xdr:to>
      <xdr:col>2</xdr:col>
      <xdr:colOff>835526</xdr:colOff>
      <xdr:row>38</xdr:row>
      <xdr:rowOff>161535</xdr:rowOff>
    </xdr:to>
    <xdr:sp macro="" textlink="">
      <xdr:nvSpPr>
        <xdr:cNvPr id="5" name="Diamond 4">
          <a:extLst>
            <a:ext uri="{FF2B5EF4-FFF2-40B4-BE49-F238E27FC236}">
              <a16:creationId xmlns:a16="http://schemas.microsoft.com/office/drawing/2014/main" id="{19456035-1147-4047-B375-0240DA620849}"/>
            </a:ext>
          </a:extLst>
        </xdr:cNvPr>
        <xdr:cNvSpPr/>
      </xdr:nvSpPr>
      <xdr:spPr>
        <a:xfrm>
          <a:off x="1052094" y="7157341"/>
          <a:ext cx="367632" cy="306694"/>
        </a:xfrm>
        <a:prstGeom prst="diamond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0">
              <a:solidFill>
                <a:sysClr val="windowText" lastClr="000000"/>
              </a:solidFill>
            </a:rPr>
            <a:t>Y</a:t>
          </a:r>
        </a:p>
      </xdr:txBody>
    </xdr:sp>
    <xdr:clientData/>
  </xdr:twoCellAnchor>
  <xdr:twoCellAnchor>
    <xdr:from>
      <xdr:col>4</xdr:col>
      <xdr:colOff>102272</xdr:colOff>
      <xdr:row>37</xdr:row>
      <xdr:rowOff>40996</xdr:rowOff>
    </xdr:from>
    <xdr:to>
      <xdr:col>4</xdr:col>
      <xdr:colOff>469904</xdr:colOff>
      <xdr:row>38</xdr:row>
      <xdr:rowOff>163540</xdr:rowOff>
    </xdr:to>
    <xdr:sp macro="" textlink="">
      <xdr:nvSpPr>
        <xdr:cNvPr id="6" name="Diamond 5">
          <a:extLst>
            <a:ext uri="{FF2B5EF4-FFF2-40B4-BE49-F238E27FC236}">
              <a16:creationId xmlns:a16="http://schemas.microsoft.com/office/drawing/2014/main" id="{B0A89E66-D592-4006-8B92-100AE5D915B6}"/>
            </a:ext>
          </a:extLst>
        </xdr:cNvPr>
        <xdr:cNvSpPr/>
      </xdr:nvSpPr>
      <xdr:spPr>
        <a:xfrm>
          <a:off x="2769272" y="7159346"/>
          <a:ext cx="367632" cy="306694"/>
        </a:xfrm>
        <a:prstGeom prst="diamond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0">
              <a:solidFill>
                <a:sysClr val="windowText" lastClr="000000"/>
              </a:solidFill>
            </a:rPr>
            <a:t>Y</a:t>
          </a:r>
        </a:p>
      </xdr:txBody>
    </xdr:sp>
    <xdr:clientData/>
  </xdr:twoCellAnchor>
  <xdr:twoCellAnchor>
    <xdr:from>
      <xdr:col>1</xdr:col>
      <xdr:colOff>152396</xdr:colOff>
      <xdr:row>40</xdr:row>
      <xdr:rowOff>7576</xdr:rowOff>
    </xdr:from>
    <xdr:to>
      <xdr:col>2</xdr:col>
      <xdr:colOff>113406</xdr:colOff>
      <xdr:row>41</xdr:row>
      <xdr:rowOff>135691</xdr:rowOff>
    </xdr:to>
    <xdr:sp macro="" textlink="">
      <xdr:nvSpPr>
        <xdr:cNvPr id="7" name="Diamond 6">
          <a:extLst>
            <a:ext uri="{FF2B5EF4-FFF2-40B4-BE49-F238E27FC236}">
              <a16:creationId xmlns:a16="http://schemas.microsoft.com/office/drawing/2014/main" id="{115324FB-CC69-4BCA-84D1-4E6E05FD7C0E}"/>
            </a:ext>
          </a:extLst>
        </xdr:cNvPr>
        <xdr:cNvSpPr/>
      </xdr:nvSpPr>
      <xdr:spPr>
        <a:xfrm>
          <a:off x="330196" y="7678376"/>
          <a:ext cx="367410" cy="312265"/>
        </a:xfrm>
        <a:prstGeom prst="diamond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0">
              <a:solidFill>
                <a:sysClr val="windowText" lastClr="000000"/>
              </a:solidFill>
            </a:rPr>
            <a:t>N</a:t>
          </a:r>
        </a:p>
      </xdr:txBody>
    </xdr:sp>
    <xdr:clientData/>
  </xdr:twoCellAnchor>
  <xdr:twoCellAnchor>
    <xdr:from>
      <xdr:col>2</xdr:col>
      <xdr:colOff>1329714</xdr:colOff>
      <xdr:row>40</xdr:row>
      <xdr:rowOff>4011</xdr:rowOff>
    </xdr:from>
    <xdr:to>
      <xdr:col>3</xdr:col>
      <xdr:colOff>299232</xdr:colOff>
      <xdr:row>41</xdr:row>
      <xdr:rowOff>132126</xdr:rowOff>
    </xdr:to>
    <xdr:sp macro="" textlink="">
      <xdr:nvSpPr>
        <xdr:cNvPr id="8" name="Diamond 7">
          <a:extLst>
            <a:ext uri="{FF2B5EF4-FFF2-40B4-BE49-F238E27FC236}">
              <a16:creationId xmlns:a16="http://schemas.microsoft.com/office/drawing/2014/main" id="{1ED4CE11-FC6C-4E59-954A-B2153FD29DE5}"/>
            </a:ext>
          </a:extLst>
        </xdr:cNvPr>
        <xdr:cNvSpPr/>
      </xdr:nvSpPr>
      <xdr:spPr>
        <a:xfrm>
          <a:off x="1913914" y="7674811"/>
          <a:ext cx="366518" cy="312265"/>
        </a:xfrm>
        <a:prstGeom prst="diamond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0">
              <a:solidFill>
                <a:sysClr val="windowText" lastClr="000000"/>
              </a:solidFill>
            </a:rPr>
            <a:t>N</a:t>
          </a:r>
        </a:p>
      </xdr:txBody>
    </xdr:sp>
    <xdr:clientData/>
  </xdr:twoCellAnchor>
  <xdr:twoCellAnchor>
    <xdr:from>
      <xdr:col>5</xdr:col>
      <xdr:colOff>284527</xdr:colOff>
      <xdr:row>39</xdr:row>
      <xdr:rowOff>173122</xdr:rowOff>
    </xdr:from>
    <xdr:to>
      <xdr:col>5</xdr:col>
      <xdr:colOff>652159</xdr:colOff>
      <xdr:row>41</xdr:row>
      <xdr:rowOff>117421</xdr:rowOff>
    </xdr:to>
    <xdr:sp macro="" textlink="">
      <xdr:nvSpPr>
        <xdr:cNvPr id="9" name="Diamond 8">
          <a:extLst>
            <a:ext uri="{FF2B5EF4-FFF2-40B4-BE49-F238E27FC236}">
              <a16:creationId xmlns:a16="http://schemas.microsoft.com/office/drawing/2014/main" id="{6212750B-BE16-45EB-B0EB-26D2647611F1}"/>
            </a:ext>
          </a:extLst>
        </xdr:cNvPr>
        <xdr:cNvSpPr/>
      </xdr:nvSpPr>
      <xdr:spPr>
        <a:xfrm>
          <a:off x="3688127" y="7659772"/>
          <a:ext cx="367632" cy="312599"/>
        </a:xfrm>
        <a:prstGeom prst="diamond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0">
              <a:solidFill>
                <a:sysClr val="windowText" lastClr="000000"/>
              </a:solidFill>
            </a:rPr>
            <a:t>N</a:t>
          </a:r>
        </a:p>
      </xdr:txBody>
    </xdr:sp>
    <xdr:clientData/>
  </xdr:twoCellAnchor>
  <xdr:twoCellAnchor>
    <xdr:from>
      <xdr:col>2</xdr:col>
      <xdr:colOff>835526</xdr:colOff>
      <xdr:row>38</xdr:row>
      <xdr:rowOff>5570</xdr:rowOff>
    </xdr:from>
    <xdr:to>
      <xdr:col>2</xdr:col>
      <xdr:colOff>1036057</xdr:colOff>
      <xdr:row>38</xdr:row>
      <xdr:rowOff>9360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1AE9B29-4870-48C7-A133-6AAAB7660395}"/>
            </a:ext>
          </a:extLst>
        </xdr:cNvPr>
        <xdr:cNvCxnSpPr>
          <a:stCxn id="5" idx="3"/>
          <a:endCxn id="3" idx="1"/>
        </xdr:cNvCxnSpPr>
      </xdr:nvCxnSpPr>
      <xdr:spPr>
        <a:xfrm>
          <a:off x="1419726" y="7308070"/>
          <a:ext cx="200531" cy="37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469904</xdr:colOff>
      <xdr:row>38</xdr:row>
      <xdr:rowOff>5795</xdr:rowOff>
    </xdr:from>
    <xdr:to>
      <xdr:col>4</xdr:col>
      <xdr:colOff>707414</xdr:colOff>
      <xdr:row>38</xdr:row>
      <xdr:rowOff>7575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F569567D-9EA2-4C0C-BAB3-27FD588C4A37}"/>
            </a:ext>
          </a:extLst>
        </xdr:cNvPr>
        <xdr:cNvCxnSpPr>
          <a:stCxn id="6" idx="3"/>
          <a:endCxn id="4" idx="1"/>
        </xdr:cNvCxnSpPr>
      </xdr:nvCxnSpPr>
      <xdr:spPr>
        <a:xfrm flipV="1">
          <a:off x="3136904" y="7308295"/>
          <a:ext cx="237510" cy="178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93133</xdr:colOff>
      <xdr:row>37</xdr:row>
      <xdr:rowOff>37431</xdr:rowOff>
    </xdr:from>
    <xdr:to>
      <xdr:col>6</xdr:col>
      <xdr:colOff>460765</xdr:colOff>
      <xdr:row>38</xdr:row>
      <xdr:rowOff>159975</xdr:rowOff>
    </xdr:to>
    <xdr:sp macro="" textlink="">
      <xdr:nvSpPr>
        <xdr:cNvPr id="12" name="Diamond 11">
          <a:extLst>
            <a:ext uri="{FF2B5EF4-FFF2-40B4-BE49-F238E27FC236}">
              <a16:creationId xmlns:a16="http://schemas.microsoft.com/office/drawing/2014/main" id="{21CC7911-AE2F-46BD-834A-E59092C33D94}"/>
            </a:ext>
          </a:extLst>
        </xdr:cNvPr>
        <xdr:cNvSpPr/>
      </xdr:nvSpPr>
      <xdr:spPr>
        <a:xfrm>
          <a:off x="4544483" y="7155781"/>
          <a:ext cx="367632" cy="306694"/>
        </a:xfrm>
        <a:prstGeom prst="diamond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0">
              <a:solidFill>
                <a:sysClr val="windowText" lastClr="000000"/>
              </a:solidFill>
            </a:rPr>
            <a:t>Y</a:t>
          </a:r>
        </a:p>
      </xdr:txBody>
    </xdr:sp>
    <xdr:clientData/>
  </xdr:twoCellAnchor>
  <xdr:twoCellAnchor>
    <xdr:from>
      <xdr:col>2</xdr:col>
      <xdr:colOff>309512</xdr:colOff>
      <xdr:row>38</xdr:row>
      <xdr:rowOff>5570</xdr:rowOff>
    </xdr:from>
    <xdr:to>
      <xdr:col>2</xdr:col>
      <xdr:colOff>467894</xdr:colOff>
      <xdr:row>38</xdr:row>
      <xdr:rowOff>7355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C9871BE-6A6D-4C22-8AB4-FFB0EF78A0CE}"/>
            </a:ext>
          </a:extLst>
        </xdr:cNvPr>
        <xdr:cNvCxnSpPr>
          <a:stCxn id="2" idx="3"/>
          <a:endCxn id="5" idx="1"/>
        </xdr:cNvCxnSpPr>
      </xdr:nvCxnSpPr>
      <xdr:spPr>
        <a:xfrm flipV="1">
          <a:off x="893712" y="7308070"/>
          <a:ext cx="158382" cy="178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596013</xdr:colOff>
      <xdr:row>38</xdr:row>
      <xdr:rowOff>7575</xdr:rowOff>
    </xdr:from>
    <xdr:to>
      <xdr:col>4</xdr:col>
      <xdr:colOff>102272</xdr:colOff>
      <xdr:row>38</xdr:row>
      <xdr:rowOff>9360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D80A7832-DD82-4FB9-99EC-947BDD0C69CB}"/>
            </a:ext>
          </a:extLst>
        </xdr:cNvPr>
        <xdr:cNvCxnSpPr>
          <a:stCxn id="3" idx="3"/>
          <a:endCxn id="6" idx="1"/>
        </xdr:cNvCxnSpPr>
      </xdr:nvCxnSpPr>
      <xdr:spPr>
        <a:xfrm flipV="1">
          <a:off x="2577213" y="7310075"/>
          <a:ext cx="192059" cy="178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966446</xdr:colOff>
      <xdr:row>38</xdr:row>
      <xdr:rowOff>4010</xdr:rowOff>
    </xdr:from>
    <xdr:to>
      <xdr:col>6</xdr:col>
      <xdr:colOff>93133</xdr:colOff>
      <xdr:row>38</xdr:row>
      <xdr:rowOff>5795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FEFF8F9-3673-42DE-AD1B-E5C3B2458BC8}"/>
            </a:ext>
          </a:extLst>
        </xdr:cNvPr>
        <xdr:cNvCxnSpPr>
          <a:stCxn id="4" idx="3"/>
          <a:endCxn id="12" idx="1"/>
        </xdr:cNvCxnSpPr>
      </xdr:nvCxnSpPr>
      <xdr:spPr>
        <a:xfrm flipV="1">
          <a:off x="4370046" y="7306510"/>
          <a:ext cx="174437" cy="178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460765</xdr:colOff>
      <xdr:row>38</xdr:row>
      <xdr:rowOff>4010</xdr:rowOff>
    </xdr:from>
    <xdr:to>
      <xdr:col>6</xdr:col>
      <xdr:colOff>646140</xdr:colOff>
      <xdr:row>38</xdr:row>
      <xdr:rowOff>5571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3AA03515-C419-4332-A1CC-E02CB291CB9F}"/>
            </a:ext>
          </a:extLst>
        </xdr:cNvPr>
        <xdr:cNvCxnSpPr>
          <a:cxnSpLocks/>
          <a:stCxn id="12" idx="3"/>
          <a:endCxn id="26" idx="1"/>
        </xdr:cNvCxnSpPr>
      </xdr:nvCxnSpPr>
      <xdr:spPr>
        <a:xfrm>
          <a:off x="4912115" y="7306510"/>
          <a:ext cx="185375" cy="156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333001</xdr:colOff>
      <xdr:row>39</xdr:row>
      <xdr:rowOff>64839</xdr:rowOff>
    </xdr:from>
    <xdr:to>
      <xdr:col>1</xdr:col>
      <xdr:colOff>336212</xdr:colOff>
      <xdr:row>40</xdr:row>
      <xdr:rowOff>7576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C036446D-53DA-4DA3-B629-F0AC3E26913C}"/>
            </a:ext>
          </a:extLst>
        </xdr:cNvPr>
        <xdr:cNvCxnSpPr>
          <a:stCxn id="2" idx="2"/>
          <a:endCxn id="7" idx="0"/>
        </xdr:cNvCxnSpPr>
      </xdr:nvCxnSpPr>
      <xdr:spPr>
        <a:xfrm>
          <a:off x="510801" y="7551489"/>
          <a:ext cx="3211" cy="12688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115416</xdr:colOff>
      <xdr:row>39</xdr:row>
      <xdr:rowOff>66844</xdr:rowOff>
    </xdr:from>
    <xdr:to>
      <xdr:col>3</xdr:col>
      <xdr:colOff>116978</xdr:colOff>
      <xdr:row>40</xdr:row>
      <xdr:rowOff>4011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528E43D4-290D-4EB6-B3AE-C214CDA24F40}"/>
            </a:ext>
          </a:extLst>
        </xdr:cNvPr>
        <xdr:cNvCxnSpPr>
          <a:stCxn id="3" idx="2"/>
          <a:endCxn id="8" idx="0"/>
        </xdr:cNvCxnSpPr>
      </xdr:nvCxnSpPr>
      <xdr:spPr>
        <a:xfrm flipH="1">
          <a:off x="2096616" y="7553494"/>
          <a:ext cx="1562" cy="12131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468343</xdr:colOff>
      <xdr:row>39</xdr:row>
      <xdr:rowOff>63279</xdr:rowOff>
    </xdr:from>
    <xdr:to>
      <xdr:col>5</xdr:col>
      <xdr:colOff>469299</xdr:colOff>
      <xdr:row>39</xdr:row>
      <xdr:rowOff>173122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8443AC8C-E1E2-4286-914A-B73C13601D8F}"/>
            </a:ext>
          </a:extLst>
        </xdr:cNvPr>
        <xdr:cNvCxnSpPr>
          <a:stCxn id="4" idx="2"/>
          <a:endCxn id="9" idx="0"/>
        </xdr:cNvCxnSpPr>
      </xdr:nvCxnSpPr>
      <xdr:spPr>
        <a:xfrm flipH="1">
          <a:off x="3871943" y="7549929"/>
          <a:ext cx="956" cy="10984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77979</xdr:colOff>
      <xdr:row>42</xdr:row>
      <xdr:rowOff>111407</xdr:rowOff>
    </xdr:from>
    <xdr:to>
      <xdr:col>2</xdr:col>
      <xdr:colOff>183813</xdr:colOff>
      <xdr:row>43</xdr:row>
      <xdr:rowOff>183819</xdr:rowOff>
    </xdr:to>
    <xdr:sp macro="" textlink="">
      <xdr:nvSpPr>
        <xdr:cNvPr id="20" name="Flowchart: Terminator 19">
          <a:extLst>
            <a:ext uri="{FF2B5EF4-FFF2-40B4-BE49-F238E27FC236}">
              <a16:creationId xmlns:a16="http://schemas.microsoft.com/office/drawing/2014/main" id="{5299496B-6280-4022-913D-0A5304E97A2C}"/>
            </a:ext>
          </a:extLst>
        </xdr:cNvPr>
        <xdr:cNvSpPr/>
      </xdr:nvSpPr>
      <xdr:spPr>
        <a:xfrm>
          <a:off x="255779" y="8150507"/>
          <a:ext cx="512234" cy="256562"/>
        </a:xfrm>
        <a:prstGeom prst="flowChartTerminator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ysClr val="windowText" lastClr="000000"/>
              </a:solidFill>
            </a:rPr>
            <a:t>End</a:t>
          </a:r>
        </a:p>
      </xdr:txBody>
    </xdr:sp>
    <xdr:clientData/>
  </xdr:twoCellAnchor>
  <xdr:twoCellAnchor>
    <xdr:from>
      <xdr:col>2</xdr:col>
      <xdr:colOff>1260864</xdr:colOff>
      <xdr:row>42</xdr:row>
      <xdr:rowOff>113410</xdr:rowOff>
    </xdr:from>
    <xdr:to>
      <xdr:col>3</xdr:col>
      <xdr:colOff>375206</xdr:colOff>
      <xdr:row>43</xdr:row>
      <xdr:rowOff>185822</xdr:rowOff>
    </xdr:to>
    <xdr:sp macro="" textlink="">
      <xdr:nvSpPr>
        <xdr:cNvPr id="21" name="Flowchart: Terminator 20">
          <a:extLst>
            <a:ext uri="{FF2B5EF4-FFF2-40B4-BE49-F238E27FC236}">
              <a16:creationId xmlns:a16="http://schemas.microsoft.com/office/drawing/2014/main" id="{44693D40-18B1-4936-955A-67D3BAA9BF16}"/>
            </a:ext>
          </a:extLst>
        </xdr:cNvPr>
        <xdr:cNvSpPr/>
      </xdr:nvSpPr>
      <xdr:spPr>
        <a:xfrm>
          <a:off x="1845064" y="8152510"/>
          <a:ext cx="511342" cy="256562"/>
        </a:xfrm>
        <a:prstGeom prst="flowChartTerminator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ysClr val="windowText" lastClr="000000"/>
              </a:solidFill>
            </a:rPr>
            <a:t>End</a:t>
          </a:r>
        </a:p>
      </xdr:txBody>
    </xdr:sp>
    <xdr:clientData/>
  </xdr:twoCellAnchor>
  <xdr:twoCellAnchor>
    <xdr:from>
      <xdr:col>5</xdr:col>
      <xdr:colOff>215676</xdr:colOff>
      <xdr:row>42</xdr:row>
      <xdr:rowOff>93135</xdr:rowOff>
    </xdr:from>
    <xdr:to>
      <xdr:col>5</xdr:col>
      <xdr:colOff>728132</xdr:colOff>
      <xdr:row>43</xdr:row>
      <xdr:rowOff>165547</xdr:rowOff>
    </xdr:to>
    <xdr:sp macro="" textlink="">
      <xdr:nvSpPr>
        <xdr:cNvPr id="22" name="Flowchart: Terminator 21">
          <a:extLst>
            <a:ext uri="{FF2B5EF4-FFF2-40B4-BE49-F238E27FC236}">
              <a16:creationId xmlns:a16="http://schemas.microsoft.com/office/drawing/2014/main" id="{67BE52D2-7D52-46C3-9136-2A5C24B43EE1}"/>
            </a:ext>
          </a:extLst>
        </xdr:cNvPr>
        <xdr:cNvSpPr/>
      </xdr:nvSpPr>
      <xdr:spPr>
        <a:xfrm>
          <a:off x="3619276" y="8132235"/>
          <a:ext cx="512456" cy="256562"/>
        </a:xfrm>
        <a:prstGeom prst="flowChartTerminator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ysClr val="windowText" lastClr="000000"/>
              </a:solidFill>
            </a:rPr>
            <a:t>End</a:t>
          </a:r>
        </a:p>
      </xdr:txBody>
    </xdr:sp>
    <xdr:clientData/>
  </xdr:twoCellAnchor>
  <xdr:twoCellAnchor>
    <xdr:from>
      <xdr:col>1</xdr:col>
      <xdr:colOff>334207</xdr:colOff>
      <xdr:row>41</xdr:row>
      <xdr:rowOff>135691</xdr:rowOff>
    </xdr:from>
    <xdr:to>
      <xdr:col>1</xdr:col>
      <xdr:colOff>336212</xdr:colOff>
      <xdr:row>42</xdr:row>
      <xdr:rowOff>111407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96732B40-325A-4FF1-9AA1-D1EF3BC724D0}"/>
            </a:ext>
          </a:extLst>
        </xdr:cNvPr>
        <xdr:cNvCxnSpPr>
          <a:stCxn id="7" idx="2"/>
          <a:endCxn id="20" idx="0"/>
        </xdr:cNvCxnSpPr>
      </xdr:nvCxnSpPr>
      <xdr:spPr>
        <a:xfrm flipH="1">
          <a:off x="512007" y="7990641"/>
          <a:ext cx="2005" cy="1598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115416</xdr:colOff>
      <xdr:row>41</xdr:row>
      <xdr:rowOff>132126</xdr:rowOff>
    </xdr:from>
    <xdr:to>
      <xdr:col>3</xdr:col>
      <xdr:colOff>118978</xdr:colOff>
      <xdr:row>42</xdr:row>
      <xdr:rowOff>113410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9BF722C2-3FB4-4F66-BD08-AF0000C7E137}"/>
            </a:ext>
          </a:extLst>
        </xdr:cNvPr>
        <xdr:cNvCxnSpPr>
          <a:stCxn id="8" idx="2"/>
          <a:endCxn id="21" idx="0"/>
        </xdr:cNvCxnSpPr>
      </xdr:nvCxnSpPr>
      <xdr:spPr>
        <a:xfrm>
          <a:off x="2096616" y="7987076"/>
          <a:ext cx="3562" cy="1654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468343</xdr:colOff>
      <xdr:row>41</xdr:row>
      <xdr:rowOff>117421</xdr:rowOff>
    </xdr:from>
    <xdr:to>
      <xdr:col>5</xdr:col>
      <xdr:colOff>471904</xdr:colOff>
      <xdr:row>42</xdr:row>
      <xdr:rowOff>93135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14269D0F-7FE5-4773-AFC9-529D78A3E0F2}"/>
            </a:ext>
          </a:extLst>
        </xdr:cNvPr>
        <xdr:cNvCxnSpPr>
          <a:stCxn id="9" idx="2"/>
          <a:endCxn id="22" idx="0"/>
        </xdr:cNvCxnSpPr>
      </xdr:nvCxnSpPr>
      <xdr:spPr>
        <a:xfrm>
          <a:off x="3871943" y="7972371"/>
          <a:ext cx="3561" cy="15986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646140</xdr:colOff>
      <xdr:row>36</xdr:row>
      <xdr:rowOff>144825</xdr:rowOff>
    </xdr:from>
    <xdr:to>
      <xdr:col>7</xdr:col>
      <xdr:colOff>217236</xdr:colOff>
      <xdr:row>39</xdr:row>
      <xdr:rowOff>55702</xdr:rowOff>
    </xdr:to>
    <xdr:sp macro="" textlink="">
      <xdr:nvSpPr>
        <xdr:cNvPr id="26" name="Flowchart: Predefined Process 25">
          <a:extLst>
            <a:ext uri="{FF2B5EF4-FFF2-40B4-BE49-F238E27FC236}">
              <a16:creationId xmlns:a16="http://schemas.microsoft.com/office/drawing/2014/main" id="{E60D9551-6696-4A0F-BB4B-C67BA8BCF5C4}"/>
            </a:ext>
          </a:extLst>
        </xdr:cNvPr>
        <xdr:cNvSpPr/>
      </xdr:nvSpPr>
      <xdr:spPr>
        <a:xfrm>
          <a:off x="5097490" y="7079025"/>
          <a:ext cx="974446" cy="463327"/>
        </a:xfrm>
        <a:prstGeom prst="flowChartPredefinedProcess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>
              <a:solidFill>
                <a:sysClr val="windowText" lastClr="000000"/>
              </a:solidFill>
            </a:rPr>
            <a:t>Incentive Process</a:t>
          </a:r>
        </a:p>
      </xdr:txBody>
    </xdr:sp>
    <xdr:clientData/>
  </xdr:twoCellAnchor>
  <xdr:twoCellAnchor>
    <xdr:from>
      <xdr:col>1</xdr:col>
      <xdr:colOff>79986</xdr:colOff>
      <xdr:row>34</xdr:row>
      <xdr:rowOff>91131</xdr:rowOff>
    </xdr:from>
    <xdr:to>
      <xdr:col>2</xdr:col>
      <xdr:colOff>185820</xdr:colOff>
      <xdr:row>35</xdr:row>
      <xdr:rowOff>169114</xdr:rowOff>
    </xdr:to>
    <xdr:sp macro="" textlink="">
      <xdr:nvSpPr>
        <xdr:cNvPr id="27" name="Flowchart: Terminator 26">
          <a:extLst>
            <a:ext uri="{FF2B5EF4-FFF2-40B4-BE49-F238E27FC236}">
              <a16:creationId xmlns:a16="http://schemas.microsoft.com/office/drawing/2014/main" id="{5E2B7AA5-9D5D-4D9C-8BA7-900B5F81D8F5}"/>
            </a:ext>
          </a:extLst>
        </xdr:cNvPr>
        <xdr:cNvSpPr/>
      </xdr:nvSpPr>
      <xdr:spPr>
        <a:xfrm>
          <a:off x="257786" y="6650681"/>
          <a:ext cx="512234" cy="262133"/>
        </a:xfrm>
        <a:prstGeom prst="flowChartTerminator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ysClr val="windowText" lastClr="000000"/>
              </a:solidFill>
            </a:rPr>
            <a:t>Start</a:t>
          </a:r>
        </a:p>
      </xdr:txBody>
    </xdr:sp>
    <xdr:clientData/>
  </xdr:twoCellAnchor>
  <xdr:twoCellAnchor>
    <xdr:from>
      <xdr:col>1</xdr:col>
      <xdr:colOff>333001</xdr:colOff>
      <xdr:row>35</xdr:row>
      <xdr:rowOff>169114</xdr:rowOff>
    </xdr:from>
    <xdr:to>
      <xdr:col>1</xdr:col>
      <xdr:colOff>336214</xdr:colOff>
      <xdr:row>36</xdr:row>
      <xdr:rowOff>139256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ED13CFBC-20C3-4BF6-9620-1B1F055BD793}"/>
            </a:ext>
          </a:extLst>
        </xdr:cNvPr>
        <xdr:cNvCxnSpPr>
          <a:stCxn id="27" idx="2"/>
          <a:endCxn id="2" idx="0"/>
        </xdr:cNvCxnSpPr>
      </xdr:nvCxnSpPr>
      <xdr:spPr>
        <a:xfrm flipH="1">
          <a:off x="510801" y="6912814"/>
          <a:ext cx="3213" cy="16064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47</xdr:row>
      <xdr:rowOff>0</xdr:rowOff>
    </xdr:from>
    <xdr:to>
      <xdr:col>6</xdr:col>
      <xdr:colOff>570914</xdr:colOff>
      <xdr:row>57</xdr:row>
      <xdr:rowOff>110846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EEEE3A2-26C7-4A54-A1B5-06D156D34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8959850"/>
          <a:ext cx="4844464" cy="1952346"/>
        </a:xfrm>
        <a:prstGeom prst="rect">
          <a:avLst/>
        </a:prstGeom>
        <a:ln w="19050">
          <a:solidFill>
            <a:schemeClr val="accent5">
              <a:lumMod val="60000"/>
              <a:lumOff val="40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showGridLines="0" tabSelected="1" workbookViewId="0">
      <pane ySplit="2" topLeftCell="A3" activePane="bottomLeft" state="frozen"/>
      <selection pane="bottomLeft" activeCell="C6" sqref="C6"/>
    </sheetView>
  </sheetViews>
  <sheetFormatPr defaultRowHeight="14.45"/>
  <cols>
    <col min="1" max="1" width="8" customWidth="1"/>
    <col min="2" max="2" width="32" customWidth="1"/>
    <col min="3" max="3" width="28" customWidth="1"/>
    <col min="4" max="4" width="32" customWidth="1"/>
    <col min="5" max="5" width="55.5703125" customWidth="1"/>
    <col min="6" max="6" width="41.140625" customWidth="1"/>
    <col min="7" max="8" width="18" customWidth="1"/>
    <col min="9" max="9" width="14" customWidth="1"/>
    <col min="10" max="10" width="40.140625" customWidth="1"/>
  </cols>
  <sheetData>
    <row r="1" spans="1:10" ht="27.95" customHeight="1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</row>
    <row r="2" spans="1:10" s="4" customFormat="1" ht="27.95" customHeight="1">
      <c r="A2" s="123" t="s">
        <v>1</v>
      </c>
      <c r="B2" s="123" t="s">
        <v>2</v>
      </c>
      <c r="C2" s="123" t="s">
        <v>3</v>
      </c>
      <c r="D2" s="123" t="s">
        <v>4</v>
      </c>
      <c r="E2" s="123" t="s">
        <v>5</v>
      </c>
      <c r="F2" s="123" t="s">
        <v>6</v>
      </c>
      <c r="G2" s="123" t="s">
        <v>7</v>
      </c>
      <c r="H2" s="123" t="s">
        <v>8</v>
      </c>
      <c r="I2" s="123" t="s">
        <v>9</v>
      </c>
      <c r="J2" s="123" t="s">
        <v>10</v>
      </c>
    </row>
    <row r="3" spans="1:10" ht="51.95" customHeight="1">
      <c r="A3" s="124" t="s">
        <v>11</v>
      </c>
      <c r="B3" s="103" t="s">
        <v>12</v>
      </c>
      <c r="C3" s="103" t="s">
        <v>13</v>
      </c>
      <c r="D3" s="103" t="s">
        <v>14</v>
      </c>
      <c r="E3" s="103" t="s">
        <v>15</v>
      </c>
      <c r="F3" s="103" t="s">
        <v>16</v>
      </c>
      <c r="G3" s="103" t="s">
        <v>17</v>
      </c>
      <c r="H3" s="103" t="s">
        <v>18</v>
      </c>
      <c r="I3" s="103" t="s">
        <v>19</v>
      </c>
      <c r="J3" s="103" t="s">
        <v>20</v>
      </c>
    </row>
    <row r="4" spans="1:10" ht="51.95" customHeight="1">
      <c r="A4" s="124" t="s">
        <v>21</v>
      </c>
      <c r="B4" s="103" t="s">
        <v>22</v>
      </c>
      <c r="C4" s="103" t="s">
        <v>23</v>
      </c>
      <c r="D4" s="103" t="s">
        <v>24</v>
      </c>
      <c r="E4" s="103" t="s">
        <v>25</v>
      </c>
      <c r="F4" s="103" t="s">
        <v>26</v>
      </c>
      <c r="G4" s="103" t="s">
        <v>18</v>
      </c>
      <c r="H4" s="103" t="s">
        <v>17</v>
      </c>
      <c r="I4" s="103" t="s">
        <v>19</v>
      </c>
      <c r="J4" s="103" t="s">
        <v>27</v>
      </c>
    </row>
    <row r="5" spans="1:10" ht="72.599999999999994">
      <c r="A5" s="124" t="s">
        <v>28</v>
      </c>
      <c r="B5" s="103" t="s">
        <v>29</v>
      </c>
      <c r="C5" s="103" t="s">
        <v>30</v>
      </c>
      <c r="D5" s="103" t="s">
        <v>31</v>
      </c>
      <c r="E5" s="103" t="s">
        <v>32</v>
      </c>
      <c r="F5" s="103" t="s">
        <v>33</v>
      </c>
      <c r="G5" s="103" t="s">
        <v>18</v>
      </c>
      <c r="H5" s="103" t="s">
        <v>17</v>
      </c>
      <c r="I5" s="103" t="s">
        <v>19</v>
      </c>
      <c r="J5" s="103" t="s">
        <v>34</v>
      </c>
    </row>
    <row r="6" spans="1:10" ht="101.45">
      <c r="A6" s="124" t="s">
        <v>35</v>
      </c>
      <c r="B6" s="103" t="s">
        <v>36</v>
      </c>
      <c r="C6" s="103" t="s">
        <v>37</v>
      </c>
      <c r="D6" s="103" t="s">
        <v>38</v>
      </c>
      <c r="E6" s="103" t="s">
        <v>39</v>
      </c>
      <c r="F6" s="103" t="s">
        <v>40</v>
      </c>
      <c r="G6" s="103" t="s">
        <v>18</v>
      </c>
      <c r="H6" s="103" t="s">
        <v>17</v>
      </c>
      <c r="I6" s="103" t="s">
        <v>19</v>
      </c>
      <c r="J6" s="103" t="s">
        <v>41</v>
      </c>
    </row>
    <row r="7" spans="1:10" ht="51.95" customHeight="1">
      <c r="A7" s="124" t="s">
        <v>42</v>
      </c>
      <c r="B7" s="103" t="s">
        <v>43</v>
      </c>
      <c r="C7" s="103" t="s">
        <v>44</v>
      </c>
      <c r="D7" s="103" t="s">
        <v>45</v>
      </c>
      <c r="E7" s="103" t="s">
        <v>46</v>
      </c>
      <c r="F7" s="103" t="s">
        <v>47</v>
      </c>
      <c r="G7" s="103" t="s">
        <v>18</v>
      </c>
      <c r="H7" s="103" t="s">
        <v>17</v>
      </c>
      <c r="I7" s="103" t="s">
        <v>19</v>
      </c>
      <c r="J7" s="103" t="s">
        <v>48</v>
      </c>
    </row>
    <row r="8" spans="1:10" ht="51.95" customHeight="1">
      <c r="A8" s="124" t="s">
        <v>49</v>
      </c>
      <c r="B8" s="103" t="s">
        <v>50</v>
      </c>
      <c r="C8" s="103" t="s">
        <v>51</v>
      </c>
      <c r="D8" s="103" t="s">
        <v>52</v>
      </c>
      <c r="E8" s="103" t="s">
        <v>53</v>
      </c>
      <c r="F8" s="103" t="s">
        <v>54</v>
      </c>
      <c r="G8" s="103" t="s">
        <v>18</v>
      </c>
      <c r="H8" s="103" t="s">
        <v>17</v>
      </c>
      <c r="I8" s="103" t="s">
        <v>55</v>
      </c>
      <c r="J8" s="103" t="s">
        <v>56</v>
      </c>
    </row>
    <row r="9" spans="1:10" ht="51.95" customHeight="1">
      <c r="A9" s="124" t="s">
        <v>57</v>
      </c>
      <c r="B9" s="103" t="s">
        <v>58</v>
      </c>
      <c r="C9" s="103" t="s">
        <v>59</v>
      </c>
      <c r="D9" s="103" t="s">
        <v>60</v>
      </c>
      <c r="E9" s="103" t="s">
        <v>61</v>
      </c>
      <c r="F9" s="103" t="s">
        <v>62</v>
      </c>
      <c r="G9" s="103" t="s">
        <v>18</v>
      </c>
      <c r="H9" s="103" t="s">
        <v>17</v>
      </c>
      <c r="I9" s="103" t="s">
        <v>19</v>
      </c>
      <c r="J9" s="103"/>
    </row>
    <row r="10" spans="1:10" ht="72.599999999999994">
      <c r="A10" s="124" t="s">
        <v>63</v>
      </c>
      <c r="B10" s="103" t="s">
        <v>64</v>
      </c>
      <c r="C10" s="103" t="s">
        <v>65</v>
      </c>
      <c r="D10" s="103" t="s">
        <v>66</v>
      </c>
      <c r="E10" s="103" t="s">
        <v>67</v>
      </c>
      <c r="F10" s="103" t="s">
        <v>68</v>
      </c>
      <c r="G10" s="103" t="s">
        <v>69</v>
      </c>
      <c r="H10" s="103" t="s">
        <v>17</v>
      </c>
      <c r="I10" s="103" t="s">
        <v>19</v>
      </c>
      <c r="J10" s="103" t="s">
        <v>48</v>
      </c>
    </row>
    <row r="11" spans="1:10" ht="51.95" customHeight="1">
      <c r="A11" s="124" t="s">
        <v>70</v>
      </c>
      <c r="B11" s="103" t="s">
        <v>71</v>
      </c>
      <c r="C11" s="103" t="s">
        <v>72</v>
      </c>
      <c r="D11" s="103" t="s">
        <v>73</v>
      </c>
      <c r="E11" s="103" t="s">
        <v>74</v>
      </c>
      <c r="F11" s="103" t="s">
        <v>75</v>
      </c>
      <c r="G11" s="103" t="s">
        <v>18</v>
      </c>
      <c r="H11" s="103" t="s">
        <v>17</v>
      </c>
      <c r="I11" s="103" t="s">
        <v>19</v>
      </c>
      <c r="J11" s="103" t="s">
        <v>76</v>
      </c>
    </row>
    <row r="12" spans="1:10" ht="51.95" customHeight="1">
      <c r="A12" s="124" t="s">
        <v>77</v>
      </c>
      <c r="B12" s="103" t="s">
        <v>78</v>
      </c>
      <c r="C12" s="103" t="s">
        <v>79</v>
      </c>
      <c r="D12" s="103" t="s">
        <v>80</v>
      </c>
      <c r="E12" s="103" t="s">
        <v>81</v>
      </c>
      <c r="F12" s="103" t="s">
        <v>82</v>
      </c>
      <c r="G12" s="103" t="s">
        <v>69</v>
      </c>
      <c r="H12" s="103" t="s">
        <v>17</v>
      </c>
      <c r="I12" s="103" t="s">
        <v>19</v>
      </c>
      <c r="J12" s="103" t="s">
        <v>83</v>
      </c>
    </row>
    <row r="13" spans="1:10" ht="51.95" customHeight="1">
      <c r="A13" s="124" t="s">
        <v>84</v>
      </c>
      <c r="B13" s="103" t="s">
        <v>85</v>
      </c>
      <c r="C13" s="103" t="s">
        <v>86</v>
      </c>
      <c r="D13" s="103" t="s">
        <v>87</v>
      </c>
      <c r="E13" s="103" t="s">
        <v>88</v>
      </c>
      <c r="F13" s="103" t="s">
        <v>89</v>
      </c>
      <c r="G13" s="103" t="s">
        <v>18</v>
      </c>
      <c r="H13" s="103" t="s">
        <v>17</v>
      </c>
      <c r="I13" s="103" t="s">
        <v>55</v>
      </c>
      <c r="J13" s="103"/>
    </row>
    <row r="14" spans="1:10" ht="51.95" customHeight="1">
      <c r="A14" s="124" t="s">
        <v>90</v>
      </c>
      <c r="B14" s="103" t="s">
        <v>91</v>
      </c>
      <c r="C14" s="103" t="s">
        <v>92</v>
      </c>
      <c r="D14" s="103" t="s">
        <v>87</v>
      </c>
      <c r="E14" s="103" t="s">
        <v>93</v>
      </c>
      <c r="F14" s="103" t="s">
        <v>94</v>
      </c>
      <c r="G14" s="103" t="s">
        <v>18</v>
      </c>
      <c r="H14" s="103" t="s">
        <v>17</v>
      </c>
      <c r="I14" s="103" t="s">
        <v>55</v>
      </c>
      <c r="J14" s="103"/>
    </row>
    <row r="15" spans="1:10" ht="51.95" customHeight="1">
      <c r="A15" s="124" t="s">
        <v>95</v>
      </c>
      <c r="B15" s="103" t="s">
        <v>96</v>
      </c>
      <c r="C15" s="103" t="s">
        <v>97</v>
      </c>
      <c r="D15" s="103" t="s">
        <v>98</v>
      </c>
      <c r="E15" s="103" t="s">
        <v>99</v>
      </c>
      <c r="F15" s="103" t="s">
        <v>100</v>
      </c>
      <c r="G15" s="103" t="s">
        <v>18</v>
      </c>
      <c r="H15" s="103" t="s">
        <v>17</v>
      </c>
      <c r="I15" s="103" t="s">
        <v>19</v>
      </c>
      <c r="J15" s="103"/>
    </row>
    <row r="16" spans="1:10" ht="51.95" customHeight="1">
      <c r="A16" s="124" t="s">
        <v>101</v>
      </c>
      <c r="B16" s="103" t="s">
        <v>102</v>
      </c>
      <c r="C16" s="103" t="s">
        <v>103</v>
      </c>
      <c r="D16" s="103" t="s">
        <v>98</v>
      </c>
      <c r="E16" s="103" t="s">
        <v>104</v>
      </c>
      <c r="F16" s="103" t="s">
        <v>105</v>
      </c>
      <c r="G16" s="103" t="s">
        <v>18</v>
      </c>
      <c r="H16" s="103" t="s">
        <v>17</v>
      </c>
      <c r="I16" s="103" t="s">
        <v>19</v>
      </c>
      <c r="J16" s="103"/>
    </row>
    <row r="17" spans="1:10" ht="51.95" customHeight="1">
      <c r="A17" s="124" t="s">
        <v>106</v>
      </c>
      <c r="B17" s="103" t="s">
        <v>107</v>
      </c>
      <c r="C17" s="103" t="s">
        <v>108</v>
      </c>
      <c r="D17" s="103" t="s">
        <v>109</v>
      </c>
      <c r="E17" s="103" t="s">
        <v>110</v>
      </c>
      <c r="F17" s="103" t="s">
        <v>111</v>
      </c>
      <c r="G17" s="103" t="s">
        <v>18</v>
      </c>
      <c r="H17" s="103" t="s">
        <v>17</v>
      </c>
      <c r="I17" s="103" t="s">
        <v>19</v>
      </c>
      <c r="J17" s="103"/>
    </row>
    <row r="18" spans="1:10" ht="51.95" customHeight="1">
      <c r="A18" s="124" t="s">
        <v>112</v>
      </c>
      <c r="B18" s="103" t="s">
        <v>113</v>
      </c>
      <c r="C18" s="103" t="s">
        <v>114</v>
      </c>
      <c r="D18" s="103" t="s">
        <v>115</v>
      </c>
      <c r="E18" s="103" t="s">
        <v>116</v>
      </c>
      <c r="F18" s="103" t="s">
        <v>117</v>
      </c>
      <c r="G18" s="103" t="s">
        <v>18</v>
      </c>
      <c r="H18" s="103" t="s">
        <v>17</v>
      </c>
      <c r="I18" s="103" t="s">
        <v>55</v>
      </c>
      <c r="J18" s="103"/>
    </row>
    <row r="19" spans="1:10" ht="51.95" customHeight="1">
      <c r="A19" s="124" t="s">
        <v>118</v>
      </c>
      <c r="B19" s="103" t="s">
        <v>119</v>
      </c>
      <c r="C19" s="103" t="s">
        <v>120</v>
      </c>
      <c r="D19" s="103" t="s">
        <v>115</v>
      </c>
      <c r="E19" s="103" t="s">
        <v>121</v>
      </c>
      <c r="F19" s="103" t="s">
        <v>122</v>
      </c>
      <c r="G19" s="103" t="s">
        <v>18</v>
      </c>
      <c r="H19" s="103" t="s">
        <v>17</v>
      </c>
      <c r="I19" s="103" t="s">
        <v>19</v>
      </c>
      <c r="J19" s="103"/>
    </row>
    <row r="20" spans="1:10" ht="51.95" customHeight="1">
      <c r="A20" s="124" t="s">
        <v>123</v>
      </c>
      <c r="B20" s="103" t="s">
        <v>124</v>
      </c>
      <c r="C20" s="103" t="s">
        <v>125</v>
      </c>
      <c r="D20" s="103" t="s">
        <v>126</v>
      </c>
      <c r="E20" s="103" t="s">
        <v>127</v>
      </c>
      <c r="F20" s="103" t="s">
        <v>128</v>
      </c>
      <c r="G20" s="103" t="s">
        <v>18</v>
      </c>
      <c r="H20" s="103" t="s">
        <v>17</v>
      </c>
      <c r="I20" s="103" t="s">
        <v>55</v>
      </c>
      <c r="J20" s="103" t="s">
        <v>129</v>
      </c>
    </row>
    <row r="21" spans="1:10" ht="57.95">
      <c r="A21" s="124" t="s">
        <v>130</v>
      </c>
      <c r="B21" s="103" t="s">
        <v>131</v>
      </c>
      <c r="C21" s="103" t="s">
        <v>132</v>
      </c>
      <c r="D21" s="103" t="s">
        <v>133</v>
      </c>
      <c r="E21" s="103" t="s">
        <v>134</v>
      </c>
      <c r="F21" s="103" t="s">
        <v>135</v>
      </c>
      <c r="G21" s="103" t="s">
        <v>69</v>
      </c>
      <c r="H21" s="103" t="s">
        <v>17</v>
      </c>
      <c r="I21" s="103" t="s">
        <v>55</v>
      </c>
      <c r="J21" s="103" t="s">
        <v>136</v>
      </c>
    </row>
    <row r="22" spans="1:10" ht="51.95" customHeight="1">
      <c r="A22" s="124" t="s">
        <v>137</v>
      </c>
      <c r="B22" s="103" t="s">
        <v>138</v>
      </c>
      <c r="C22" s="103" t="s">
        <v>139</v>
      </c>
      <c r="D22" s="103" t="s">
        <v>140</v>
      </c>
      <c r="E22" s="103" t="s">
        <v>141</v>
      </c>
      <c r="F22" s="103" t="s">
        <v>142</v>
      </c>
      <c r="G22" s="103" t="s">
        <v>69</v>
      </c>
      <c r="H22" s="103" t="s">
        <v>17</v>
      </c>
      <c r="I22" s="103" t="s">
        <v>55</v>
      </c>
      <c r="J22" s="103"/>
    </row>
    <row r="23" spans="1:10" ht="51.95" customHeight="1">
      <c r="A23" s="124" t="s">
        <v>143</v>
      </c>
      <c r="B23" s="103" t="s">
        <v>144</v>
      </c>
      <c r="C23" s="103" t="s">
        <v>145</v>
      </c>
      <c r="D23" s="103" t="s">
        <v>146</v>
      </c>
      <c r="E23" s="103" t="s">
        <v>147</v>
      </c>
      <c r="F23" s="103" t="s">
        <v>148</v>
      </c>
      <c r="G23" s="103" t="s">
        <v>18</v>
      </c>
      <c r="H23" s="103" t="s">
        <v>17</v>
      </c>
      <c r="I23" s="103" t="s">
        <v>19</v>
      </c>
      <c r="J23" s="103" t="s">
        <v>149</v>
      </c>
    </row>
    <row r="24" spans="1:10" ht="51.95" customHeight="1">
      <c r="A24" s="124" t="s">
        <v>150</v>
      </c>
      <c r="B24" s="103" t="s">
        <v>151</v>
      </c>
      <c r="C24" s="103" t="s">
        <v>152</v>
      </c>
      <c r="D24" s="103" t="s">
        <v>153</v>
      </c>
      <c r="E24" s="103" t="s">
        <v>154</v>
      </c>
      <c r="F24" s="103" t="s">
        <v>155</v>
      </c>
      <c r="G24" s="103" t="s">
        <v>69</v>
      </c>
      <c r="H24" s="103" t="s">
        <v>17</v>
      </c>
      <c r="I24" s="103" t="s">
        <v>19</v>
      </c>
      <c r="J24" s="103" t="s">
        <v>156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8"/>
  <sheetViews>
    <sheetView showGridLines="0" workbookViewId="0">
      <selection activeCell="C19" sqref="C19"/>
    </sheetView>
  </sheetViews>
  <sheetFormatPr defaultRowHeight="14.45"/>
  <cols>
    <col min="1" max="1" width="2.140625" customWidth="1"/>
    <col min="2" max="2" width="11.85546875" customWidth="1"/>
    <col min="3" max="3" width="21.85546875" customWidth="1"/>
    <col min="4" max="4" width="11.28515625" bestFit="1" customWidth="1"/>
    <col min="5" max="5" width="32" customWidth="1"/>
    <col min="6" max="6" width="20.5703125" customWidth="1"/>
    <col min="7" max="7" width="13.5703125" customWidth="1"/>
    <col min="8" max="8" width="12.42578125" customWidth="1"/>
    <col min="9" max="9" width="42" customWidth="1"/>
  </cols>
  <sheetData>
    <row r="1" spans="2:9">
      <c r="B1" s="30" t="s">
        <v>157</v>
      </c>
    </row>
    <row r="2" spans="2:9" ht="15" thickBot="1"/>
    <row r="3" spans="2:9" ht="15" thickBot="1">
      <c r="B3" s="22" t="s">
        <v>158</v>
      </c>
      <c r="C3" s="23" t="s">
        <v>157</v>
      </c>
      <c r="D3" s="24" t="s">
        <v>159</v>
      </c>
      <c r="E3" s="23" t="s">
        <v>160</v>
      </c>
      <c r="F3" s="257" t="s">
        <v>161</v>
      </c>
      <c r="G3" s="258"/>
      <c r="H3" s="258"/>
      <c r="I3" s="25" t="s">
        <v>162</v>
      </c>
    </row>
    <row r="4" spans="2:9" ht="15" thickBot="1">
      <c r="B4" s="41"/>
      <c r="C4" s="42"/>
      <c r="D4" s="43"/>
      <c r="E4" s="42"/>
      <c r="F4" s="23" t="s">
        <v>163</v>
      </c>
      <c r="G4" s="23" t="s">
        <v>164</v>
      </c>
      <c r="H4" s="23" t="s">
        <v>165</v>
      </c>
      <c r="I4" s="44"/>
    </row>
    <row r="5" spans="2:9">
      <c r="B5" s="15" t="s">
        <v>166</v>
      </c>
      <c r="C5" s="252" t="s">
        <v>167</v>
      </c>
      <c r="D5" s="19" t="s">
        <v>168</v>
      </c>
      <c r="E5" s="8" t="s">
        <v>169</v>
      </c>
      <c r="F5" s="37">
        <v>0</v>
      </c>
      <c r="G5" s="37">
        <v>0</v>
      </c>
      <c r="H5" s="35">
        <f>F5*G5</f>
        <v>0</v>
      </c>
      <c r="I5" s="9" t="s">
        <v>170</v>
      </c>
    </row>
    <row r="6" spans="2:9">
      <c r="B6" s="16" t="s">
        <v>166</v>
      </c>
      <c r="C6" s="253"/>
      <c r="D6" s="7" t="s">
        <v>171</v>
      </c>
      <c r="E6" s="2" t="s">
        <v>172</v>
      </c>
      <c r="F6" s="36">
        <v>7.4999999999999997E-3</v>
      </c>
      <c r="G6" s="33">
        <v>0.4</v>
      </c>
      <c r="H6" s="36">
        <f t="shared" ref="H6:H10" si="0">F6*G6</f>
        <v>3.0000000000000001E-3</v>
      </c>
      <c r="I6" s="10" t="s">
        <v>173</v>
      </c>
    </row>
    <row r="7" spans="2:9">
      <c r="B7" s="16" t="s">
        <v>166</v>
      </c>
      <c r="C7" s="253"/>
      <c r="D7" s="7" t="s">
        <v>174</v>
      </c>
      <c r="E7" s="2" t="s">
        <v>175</v>
      </c>
      <c r="F7" s="38">
        <v>7.4999999999999997E-3</v>
      </c>
      <c r="G7" s="33">
        <v>0.8</v>
      </c>
      <c r="H7" s="36">
        <f t="shared" si="0"/>
        <v>6.0000000000000001E-3</v>
      </c>
      <c r="I7" s="10" t="s">
        <v>173</v>
      </c>
    </row>
    <row r="8" spans="2:9">
      <c r="B8" s="16" t="s">
        <v>166</v>
      </c>
      <c r="C8" s="253"/>
      <c r="D8" s="7" t="s">
        <v>176</v>
      </c>
      <c r="E8" s="2" t="s">
        <v>177</v>
      </c>
      <c r="F8" s="38">
        <v>7.4999999999999997E-3</v>
      </c>
      <c r="G8" s="33">
        <v>0.9</v>
      </c>
      <c r="H8" s="36">
        <f t="shared" si="0"/>
        <v>6.7499999999999999E-3</v>
      </c>
      <c r="I8" s="10" t="s">
        <v>173</v>
      </c>
    </row>
    <row r="9" spans="2:9">
      <c r="B9" s="16" t="s">
        <v>166</v>
      </c>
      <c r="C9" s="253"/>
      <c r="D9" s="7" t="s">
        <v>178</v>
      </c>
      <c r="E9" s="2" t="s">
        <v>179</v>
      </c>
      <c r="F9" s="38">
        <v>7.4999999999999997E-3</v>
      </c>
      <c r="G9" s="33">
        <v>1</v>
      </c>
      <c r="H9" s="36">
        <f t="shared" si="0"/>
        <v>7.4999999999999997E-3</v>
      </c>
      <c r="I9" s="10" t="s">
        <v>173</v>
      </c>
    </row>
    <row r="10" spans="2:9" ht="15" thickBot="1">
      <c r="B10" s="17" t="s">
        <v>166</v>
      </c>
      <c r="C10" s="254"/>
      <c r="D10" s="20" t="s">
        <v>180</v>
      </c>
      <c r="E10" s="11" t="s">
        <v>181</v>
      </c>
      <c r="F10" s="39">
        <v>7.4999999999999997E-3</v>
      </c>
      <c r="G10" s="34">
        <v>1.05</v>
      </c>
      <c r="H10" s="40">
        <f t="shared" si="0"/>
        <v>7.8750000000000001E-3</v>
      </c>
      <c r="I10" s="12" t="s">
        <v>182</v>
      </c>
    </row>
    <row r="11" spans="2:9">
      <c r="B11" s="15" t="s">
        <v>183</v>
      </c>
      <c r="C11" s="255" t="s">
        <v>184</v>
      </c>
      <c r="D11" s="19" t="s">
        <v>185</v>
      </c>
      <c r="E11" s="8" t="s">
        <v>186</v>
      </c>
      <c r="F11" s="8" t="s">
        <v>187</v>
      </c>
      <c r="G11" s="8"/>
      <c r="H11" s="8"/>
      <c r="I11" s="9" t="s">
        <v>188</v>
      </c>
    </row>
    <row r="12" spans="2:9" ht="15" thickBot="1">
      <c r="B12" s="17" t="s">
        <v>183</v>
      </c>
      <c r="C12" s="256"/>
      <c r="D12" s="20" t="s">
        <v>189</v>
      </c>
      <c r="E12" s="11" t="s">
        <v>190</v>
      </c>
      <c r="F12" s="11" t="s">
        <v>170</v>
      </c>
      <c r="G12" s="11"/>
      <c r="H12" s="11"/>
      <c r="I12" s="12" t="s">
        <v>191</v>
      </c>
    </row>
    <row r="13" spans="2:9" ht="15" thickBot="1">
      <c r="B13" s="18" t="s">
        <v>192</v>
      </c>
      <c r="C13" s="13" t="s">
        <v>193</v>
      </c>
      <c r="D13" s="21" t="s">
        <v>194</v>
      </c>
      <c r="E13" s="13" t="s">
        <v>195</v>
      </c>
      <c r="F13" s="13" t="s">
        <v>196</v>
      </c>
      <c r="G13" s="13"/>
      <c r="H13" s="13"/>
      <c r="I13" s="14" t="s">
        <v>197</v>
      </c>
    </row>
    <row r="14" spans="2:9">
      <c r="B14" s="15" t="s">
        <v>198</v>
      </c>
      <c r="C14" s="252" t="s">
        <v>199</v>
      </c>
      <c r="D14" s="19" t="s">
        <v>200</v>
      </c>
      <c r="E14" s="8" t="s">
        <v>201</v>
      </c>
      <c r="F14" s="8" t="s">
        <v>202</v>
      </c>
      <c r="G14" s="8"/>
      <c r="H14" s="8"/>
      <c r="I14" s="9" t="s">
        <v>203</v>
      </c>
    </row>
    <row r="15" spans="2:9">
      <c r="B15" s="16" t="s">
        <v>198</v>
      </c>
      <c r="C15" s="253"/>
      <c r="D15" s="7" t="s">
        <v>204</v>
      </c>
      <c r="E15" s="2" t="s">
        <v>102</v>
      </c>
      <c r="F15" s="2" t="s">
        <v>205</v>
      </c>
      <c r="G15" s="2"/>
      <c r="H15" s="2"/>
      <c r="I15" s="10" t="s">
        <v>206</v>
      </c>
    </row>
    <row r="16" spans="2:9" ht="15" thickBot="1">
      <c r="B16" s="17" t="s">
        <v>198</v>
      </c>
      <c r="C16" s="254"/>
      <c r="D16" s="20" t="s">
        <v>207</v>
      </c>
      <c r="E16" s="11" t="s">
        <v>208</v>
      </c>
      <c r="F16" s="11" t="s">
        <v>209</v>
      </c>
      <c r="G16" s="11"/>
      <c r="H16" s="11"/>
      <c r="I16" s="12" t="s">
        <v>210</v>
      </c>
    </row>
    <row r="18" spans="2:2">
      <c r="B18" s="30"/>
    </row>
  </sheetData>
  <mergeCells count="4">
    <mergeCell ref="C5:C10"/>
    <mergeCell ref="C11:C12"/>
    <mergeCell ref="C14:C16"/>
    <mergeCell ref="F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B574-BFD4-4900-B041-8FFD9FE95BE0}">
  <dimension ref="B1:M74"/>
  <sheetViews>
    <sheetView showGridLines="0" zoomScale="99" workbookViewId="0">
      <pane ySplit="4" topLeftCell="A8" activePane="bottomLeft" state="frozen"/>
      <selection pane="bottomLeft" activeCell="I2" sqref="I2"/>
    </sheetView>
  </sheetViews>
  <sheetFormatPr defaultRowHeight="14.45"/>
  <cols>
    <col min="1" max="1" width="2.140625" customWidth="1"/>
    <col min="2" max="3" width="11.85546875" customWidth="1"/>
    <col min="4" max="5" width="12.85546875" customWidth="1"/>
    <col min="6" max="6" width="29.42578125" bestFit="1" customWidth="1"/>
    <col min="7" max="7" width="32" customWidth="1"/>
    <col min="8" max="8" width="23" customWidth="1"/>
    <col min="9" max="10" width="22.140625" bestFit="1" customWidth="1"/>
    <col min="11" max="11" width="14.5703125" bestFit="1" customWidth="1"/>
    <col min="12" max="13" width="11.140625" style="5" bestFit="1" customWidth="1"/>
  </cols>
  <sheetData>
    <row r="1" spans="2:13">
      <c r="B1" s="30" t="s">
        <v>211</v>
      </c>
      <c r="C1" s="30"/>
    </row>
    <row r="2" spans="2:13">
      <c r="B2" s="30"/>
      <c r="C2" s="30"/>
      <c r="G2" s="45"/>
    </row>
    <row r="3" spans="2:13" ht="15" thickBot="1">
      <c r="B3" s="30"/>
      <c r="C3" s="30"/>
      <c r="D3" s="32" t="s">
        <v>212</v>
      </c>
      <c r="E3" s="32"/>
    </row>
    <row r="4" spans="2:13" ht="30.6" customHeight="1" thickBot="1">
      <c r="B4" s="65" t="s">
        <v>213</v>
      </c>
      <c r="C4" s="65"/>
      <c r="D4" s="65" t="s">
        <v>214</v>
      </c>
      <c r="E4" s="65" t="s">
        <v>215</v>
      </c>
      <c r="F4" s="65" t="s">
        <v>161</v>
      </c>
      <c r="G4" s="54" t="s">
        <v>216</v>
      </c>
      <c r="H4" s="54" t="s">
        <v>217</v>
      </c>
      <c r="I4" s="54" t="s">
        <v>218</v>
      </c>
      <c r="J4" s="54" t="s">
        <v>219</v>
      </c>
      <c r="K4" s="65" t="s">
        <v>162</v>
      </c>
      <c r="L4" s="65" t="s">
        <v>220</v>
      </c>
      <c r="M4" s="65" t="s">
        <v>221</v>
      </c>
    </row>
    <row r="5" spans="2:13">
      <c r="B5" s="114" t="s">
        <v>222</v>
      </c>
      <c r="C5" s="114" t="s">
        <v>223</v>
      </c>
      <c r="D5" s="66" t="s">
        <v>224</v>
      </c>
      <c r="E5" s="66"/>
      <c r="F5" s="66" t="s">
        <v>225</v>
      </c>
      <c r="G5" s="46">
        <v>100000000</v>
      </c>
      <c r="H5" s="46">
        <v>100000000</v>
      </c>
      <c r="I5" s="46">
        <v>100000000</v>
      </c>
      <c r="J5" s="46">
        <v>100000000</v>
      </c>
      <c r="K5" s="66"/>
      <c r="L5" s="73"/>
      <c r="M5" s="73"/>
    </row>
    <row r="6" spans="2:13">
      <c r="B6" s="115"/>
      <c r="C6" s="115"/>
      <c r="D6" s="67"/>
      <c r="E6" s="67"/>
      <c r="F6" s="67" t="s">
        <v>226</v>
      </c>
      <c r="G6" s="49">
        <v>0</v>
      </c>
      <c r="H6" s="49">
        <v>0</v>
      </c>
      <c r="I6" s="49">
        <v>0</v>
      </c>
      <c r="J6" s="49">
        <v>0</v>
      </c>
      <c r="K6" s="67"/>
      <c r="L6" s="74"/>
      <c r="M6" s="74"/>
    </row>
    <row r="7" spans="2:13">
      <c r="B7" s="115"/>
      <c r="C7" s="115"/>
      <c r="D7" s="67"/>
      <c r="E7" s="67"/>
      <c r="F7" s="67" t="s">
        <v>227</v>
      </c>
      <c r="G7" s="49">
        <v>70000000</v>
      </c>
      <c r="H7" s="49">
        <v>65000000</v>
      </c>
      <c r="I7" s="49">
        <v>0</v>
      </c>
      <c r="J7" s="49">
        <v>0</v>
      </c>
      <c r="K7" s="67"/>
      <c r="L7" s="74"/>
      <c r="M7" s="74"/>
    </row>
    <row r="8" spans="2:13">
      <c r="B8" s="67"/>
      <c r="C8" s="67"/>
      <c r="D8" s="67"/>
      <c r="E8" s="67"/>
      <c r="F8" s="67" t="s">
        <v>228</v>
      </c>
      <c r="G8" s="49">
        <v>0</v>
      </c>
      <c r="H8" s="49">
        <v>0</v>
      </c>
      <c r="I8" s="51">
        <v>0</v>
      </c>
      <c r="J8" s="51">
        <v>0</v>
      </c>
      <c r="K8" s="67"/>
      <c r="L8" s="74"/>
      <c r="M8" s="74"/>
    </row>
    <row r="9" spans="2:13">
      <c r="B9" s="67"/>
      <c r="C9" s="67"/>
      <c r="D9" s="67"/>
      <c r="E9" s="67"/>
      <c r="F9" s="67" t="s">
        <v>229</v>
      </c>
      <c r="G9" s="49">
        <v>70000000</v>
      </c>
      <c r="H9" s="49">
        <f>H7-G8</f>
        <v>65000000</v>
      </c>
      <c r="I9" s="49">
        <v>0</v>
      </c>
      <c r="J9" s="49">
        <v>0</v>
      </c>
      <c r="K9" s="67"/>
      <c r="L9" s="74"/>
      <c r="M9" s="74"/>
    </row>
    <row r="10" spans="2:13">
      <c r="B10" s="67"/>
      <c r="C10" s="67"/>
      <c r="D10" s="67"/>
      <c r="E10" s="118" t="s">
        <v>230</v>
      </c>
      <c r="F10" s="119" t="s">
        <v>231</v>
      </c>
      <c r="G10" s="91" t="str">
        <f>_xlfn.IFS((G9/G5)&lt;75%,"Tier 0",AND((G9/G5)&gt;=75%,(G9/G5)&lt;85%),"Tier 1",AND((G9/G5)&gt;=85%,(G9/G5)&lt;90%),"Tier 2",AND((G9/G5)&gt;=90%,(G9/G5)&lt;100%),"Tier 3",AND((G9/G5)&gt;=100%,(G9/G5)&lt;110%),"Tier 4",(G9/G5)&gt;=110%,"Tier 5")</f>
        <v>Tier 0</v>
      </c>
      <c r="H10" s="90" t="str">
        <f>_xlfn.IFS((H9/H5)&lt;75%,"Tier 0",AND((H9/H5)&gt;=75%,(H9/H5)&lt;85%),"Tier 1",AND((H9/H5)&gt;=85%,(H9/H5)&lt;90%),"Tier 2",AND((H9/H5)&gt;=90%,(H9/H5)&lt;100%),"Tier 3",AND((H9/H5)&gt;=100%,(H9/H5)&lt;110%),"Tier 4",(H9/H5)&gt;=110%,"Tier 5")</f>
        <v>Tier 0</v>
      </c>
      <c r="I10" s="89" t="s">
        <v>232</v>
      </c>
      <c r="J10" s="89" t="s">
        <v>232</v>
      </c>
      <c r="K10" s="83" t="s">
        <v>233</v>
      </c>
      <c r="L10" s="84" t="s">
        <v>234</v>
      </c>
      <c r="M10" s="85" t="s">
        <v>235</v>
      </c>
    </row>
    <row r="11" spans="2:13">
      <c r="B11" s="67"/>
      <c r="C11" s="67"/>
      <c r="D11" s="67"/>
      <c r="E11" s="67" t="s">
        <v>236</v>
      </c>
      <c r="F11" s="67" t="s">
        <v>237</v>
      </c>
      <c r="G11" s="78">
        <v>65000000</v>
      </c>
      <c r="H11" s="78">
        <v>40000000</v>
      </c>
      <c r="I11" s="79"/>
      <c r="J11" s="79"/>
      <c r="K11" s="80"/>
      <c r="L11" s="81"/>
      <c r="M11" s="74"/>
    </row>
    <row r="12" spans="2:13">
      <c r="B12" s="67"/>
      <c r="C12" s="67"/>
      <c r="D12" s="67"/>
      <c r="E12" s="118" t="s">
        <v>238</v>
      </c>
      <c r="F12" s="120" t="s">
        <v>239</v>
      </c>
      <c r="G12" s="86">
        <v>0</v>
      </c>
      <c r="H12" s="86">
        <v>10000000</v>
      </c>
      <c r="I12" s="82"/>
      <c r="J12" s="82"/>
      <c r="K12" s="83"/>
      <c r="L12" s="84"/>
      <c r="M12" s="85"/>
    </row>
    <row r="13" spans="2:13">
      <c r="B13" s="67"/>
      <c r="C13" s="67"/>
      <c r="D13" s="67"/>
      <c r="E13" s="118"/>
      <c r="F13" s="120" t="s">
        <v>240</v>
      </c>
      <c r="G13" s="87">
        <v>45000000</v>
      </c>
      <c r="H13" s="87">
        <v>40000000</v>
      </c>
      <c r="I13" s="87">
        <v>0</v>
      </c>
      <c r="J13" s="87">
        <v>0</v>
      </c>
      <c r="K13" s="83" t="s">
        <v>233</v>
      </c>
      <c r="L13" s="85"/>
      <c r="M13" s="85"/>
    </row>
    <row r="14" spans="2:13">
      <c r="B14" s="67"/>
      <c r="C14" s="67"/>
      <c r="D14" s="67"/>
      <c r="E14" s="118"/>
      <c r="F14" s="118" t="s">
        <v>241</v>
      </c>
      <c r="G14" s="86">
        <v>0</v>
      </c>
      <c r="H14" s="87">
        <f>_xlfn.IFS(G10="Tier 0",H12*'Sequential Rule'!$H$5,G10="Tier 1",H12*'Sequential Rule'!$H$6,G10="Tier 2",H12*'Sequential Rule'!$H$7,G10="Tier 3",H12*'Sequential Rule'!$H$8,G10="Tier 4",H12*'Sequential Rule'!$H$9,G10="Tier 5",H12*'Sequential Rule'!$H$10)</f>
        <v>0</v>
      </c>
      <c r="I14" s="82"/>
      <c r="J14" s="82"/>
      <c r="K14" s="83" t="s">
        <v>233</v>
      </c>
      <c r="L14" s="84"/>
      <c r="M14" s="85"/>
    </row>
    <row r="15" spans="2:13">
      <c r="B15" s="67"/>
      <c r="C15" s="67"/>
      <c r="D15" s="67"/>
      <c r="E15" s="118"/>
      <c r="F15" s="118" t="s">
        <v>242</v>
      </c>
      <c r="G15" s="87">
        <f>_xlfn.IFS(G10="Tier 0",G13*'Sequential Rule'!$H$5,'Business Use Case'!G10="Tier 1",'Business Use Case'!G13*'Sequential Rule'!$H$6,'Business Use Case'!G10="Tier 2",'Business Use Case'!G13*'Sequential Rule'!$H$7,'Business Use Case'!G10="Tier 3",'Business Use Case'!G13*'Sequential Rule'!$H$8,'Business Use Case'!G10="Tier 4",'Business Use Case'!G13*'Sequential Rule'!$H$9,'Business Use Case'!G10="Tier 5",'Business Use Case'!G13*'Sequential Rule'!$H$10)</f>
        <v>0</v>
      </c>
      <c r="H15" s="87">
        <f>_xlfn.IFS(H10="Tier 0",H13*'Sequential Rule'!$H$5,'Business Use Case'!H10="Tier 1",'Business Use Case'!H13*'Sequential Rule'!$H$6,'Business Use Case'!H10="Tier 2",'Business Use Case'!H13*'Sequential Rule'!$H$7,'Business Use Case'!H10="Tier 3",'Business Use Case'!H13*'Sequential Rule'!$H$8,'Business Use Case'!H10="Tier 4",'Business Use Case'!H13*'Sequential Rule'!$H$9,'Business Use Case'!H10="Tier 5",'Business Use Case'!H13*'Sequential Rule'!$H$10)</f>
        <v>0</v>
      </c>
      <c r="I15" s="82" t="s">
        <v>232</v>
      </c>
      <c r="J15" s="82" t="s">
        <v>232</v>
      </c>
      <c r="K15" s="83" t="s">
        <v>233</v>
      </c>
      <c r="L15" s="85"/>
      <c r="M15" s="85"/>
    </row>
    <row r="16" spans="2:13">
      <c r="B16" s="67"/>
      <c r="C16" s="67"/>
      <c r="D16" s="67"/>
      <c r="E16" s="118"/>
      <c r="F16" s="121" t="s">
        <v>243</v>
      </c>
      <c r="G16" s="88">
        <f>SUM(G14:G15)</f>
        <v>0</v>
      </c>
      <c r="H16" s="88">
        <f>SUM(H14:H15)</f>
        <v>0</v>
      </c>
      <c r="I16" s="89"/>
      <c r="J16" s="89"/>
      <c r="K16" s="83" t="s">
        <v>233</v>
      </c>
      <c r="L16" s="85"/>
      <c r="M16" s="85"/>
    </row>
    <row r="17" spans="2:13">
      <c r="B17" s="67"/>
      <c r="C17" s="67"/>
      <c r="D17" s="67"/>
      <c r="E17" s="67"/>
      <c r="F17" s="71" t="s">
        <v>244</v>
      </c>
      <c r="G17" s="55">
        <v>0</v>
      </c>
      <c r="H17" s="55">
        <v>0</v>
      </c>
      <c r="I17" s="56" t="s">
        <v>232</v>
      </c>
      <c r="J17" s="56" t="s">
        <v>232</v>
      </c>
      <c r="K17" s="68" t="s">
        <v>233</v>
      </c>
      <c r="L17" s="75"/>
      <c r="M17" s="75"/>
    </row>
    <row r="18" spans="2:13" ht="15" thickBot="1">
      <c r="B18" s="70"/>
      <c r="C18" s="70"/>
      <c r="D18" s="70"/>
      <c r="E18" s="70"/>
      <c r="F18" s="72" t="s">
        <v>245</v>
      </c>
      <c r="G18" s="57">
        <v>0</v>
      </c>
      <c r="H18" s="58">
        <v>0</v>
      </c>
      <c r="I18" s="59" t="s">
        <v>232</v>
      </c>
      <c r="J18" s="59" t="s">
        <v>232</v>
      </c>
      <c r="K18" s="68" t="s">
        <v>233</v>
      </c>
      <c r="L18" s="76"/>
      <c r="M18" s="76"/>
    </row>
    <row r="19" spans="2:13">
      <c r="B19" s="114" t="s">
        <v>246</v>
      </c>
      <c r="C19" s="114" t="s">
        <v>223</v>
      </c>
      <c r="D19" s="66" t="s">
        <v>247</v>
      </c>
      <c r="E19" s="66"/>
      <c r="F19" s="66" t="s">
        <v>225</v>
      </c>
      <c r="G19" s="46">
        <v>100000000</v>
      </c>
      <c r="H19" s="46">
        <v>100000000</v>
      </c>
      <c r="I19" s="46">
        <v>100000000</v>
      </c>
      <c r="J19" s="46">
        <v>100000000</v>
      </c>
      <c r="K19" s="66"/>
      <c r="L19" s="73"/>
      <c r="M19" s="73"/>
    </row>
    <row r="20" spans="2:13">
      <c r="B20" s="115"/>
      <c r="C20" s="115"/>
      <c r="D20" s="67"/>
      <c r="E20" s="67"/>
      <c r="F20" s="67" t="s">
        <v>226</v>
      </c>
      <c r="G20" s="49">
        <v>0</v>
      </c>
      <c r="H20" s="49">
        <v>0</v>
      </c>
      <c r="I20" s="49">
        <f>I5/COUNTA($D$19:$D$43)</f>
        <v>50000000</v>
      </c>
      <c r="J20" s="49">
        <f>($J$5-$J$61)/COUNTA($C$19:$C$46)</f>
        <v>30000000</v>
      </c>
      <c r="K20" s="67"/>
      <c r="L20" s="74"/>
      <c r="M20" s="74"/>
    </row>
    <row r="21" spans="2:13">
      <c r="B21" s="115"/>
      <c r="C21" s="115"/>
      <c r="D21" s="67"/>
      <c r="E21" s="67"/>
      <c r="F21" s="67" t="s">
        <v>227</v>
      </c>
      <c r="G21" s="49">
        <v>90000000</v>
      </c>
      <c r="H21" s="49">
        <v>100000000</v>
      </c>
      <c r="I21" s="49">
        <v>145000000</v>
      </c>
      <c r="J21" s="49">
        <v>80000000</v>
      </c>
      <c r="K21" s="67"/>
      <c r="L21" s="74"/>
      <c r="M21" s="74"/>
    </row>
    <row r="22" spans="2:13">
      <c r="B22" s="67"/>
      <c r="C22" s="67"/>
      <c r="D22" s="67"/>
      <c r="E22" s="67"/>
      <c r="F22" s="67" t="s">
        <v>228</v>
      </c>
      <c r="G22" s="62">
        <v>11000000</v>
      </c>
      <c r="H22" s="62">
        <v>0</v>
      </c>
      <c r="I22" s="51">
        <v>0</v>
      </c>
      <c r="J22" s="51">
        <v>0</v>
      </c>
      <c r="K22" s="67"/>
      <c r="L22" s="74"/>
      <c r="M22" s="74"/>
    </row>
    <row r="23" spans="2:13">
      <c r="B23" s="67"/>
      <c r="C23" s="67"/>
      <c r="D23" s="67"/>
      <c r="E23" s="67"/>
      <c r="F23" s="67" t="s">
        <v>229</v>
      </c>
      <c r="G23" s="49">
        <v>86000000</v>
      </c>
      <c r="H23" s="49">
        <f>H21-G22-H22</f>
        <v>89000000</v>
      </c>
      <c r="I23" s="49">
        <f>I21-I22</f>
        <v>145000000</v>
      </c>
      <c r="J23" s="49">
        <v>95000000</v>
      </c>
      <c r="K23" s="67"/>
      <c r="L23" s="74"/>
      <c r="M23" s="74"/>
    </row>
    <row r="24" spans="2:13">
      <c r="B24" s="67"/>
      <c r="C24" s="67"/>
      <c r="D24" s="67"/>
      <c r="E24" s="118" t="s">
        <v>230</v>
      </c>
      <c r="F24" s="119" t="s">
        <v>231</v>
      </c>
      <c r="G24" s="91" t="str">
        <f>_xlfn.IFS((G23/G19)&lt;75%,"Tier 0",AND((G23/G19)&gt;=75%,(G23/G19)&lt;85%),"Tier 1",AND((G23/G19)&gt;=85%,(G23/G19)&lt;90%),"Tier 2",AND((G23/G19)&gt;=90%,(G23/G19)&lt;100%),"Tier 3",AND((G23/G19)&gt;=100%,(G23/G19)&lt;110%),"Tier 4",(G23/G19)&gt;=110%,"Tier 5")</f>
        <v>Tier 2</v>
      </c>
      <c r="H24" s="91" t="str">
        <f>_xlfn.IFS((H23/H19)&lt;75%,"Tier 0",AND((H23/H19)&gt;=75%,(H23/H19)&lt;85%),"Tier 1",AND((H23/H19)&gt;=85%,(H23/H19)&lt;90%),"Tier 2",AND((H23/H19)&gt;=90%,(H23/H19)&lt;100%),"Tier 3",AND((H23/H19)&gt;=100%,(H23/H19)&lt;110%),"Tier 4",(H23/H19)&gt;=110%,"Tier 5")</f>
        <v>Tier 2</v>
      </c>
      <c r="I24" s="91" t="str">
        <f>_xlfn.IFS((I23/I19)&lt;75%,"Tier 0",AND((I23/I19)&gt;=75%,(I23/I19)&lt;85%),"Tier 1",AND((I23/I19)&gt;=85%,(I23/I19)&lt;90%),"Tier 2",AND((I23/I19)&gt;=90%,(I23/I19)&lt;100%),"Tier 3",AND((I23/I19)&gt;=100%,(I23/I19)&lt;110%),"Tier 4",(I23/I19)&gt;=110%,"Tier 4")</f>
        <v>Tier 4</v>
      </c>
      <c r="J24" s="91" t="str">
        <f>_xlfn.IFS((J23/J19)&lt;75%,"Tier 0",AND((J23/J19)&gt;=75%,(J23/J19)&lt;85%),"Tier 1",AND((J23/J19)&gt;=85%,(J23/J19)&lt;90%),"Tier 2",AND((J23/J19)&gt;=90%,(J23/J19)&lt;100%),"Tier 3",AND((J23/J19)&gt;=100%,(J23/J19)&lt;110%),"Tier 4",(J23/J19)&gt;=110%,"Tier 4")</f>
        <v>Tier 3</v>
      </c>
      <c r="K24" s="83" t="s">
        <v>233</v>
      </c>
      <c r="L24" s="85" t="s">
        <v>248</v>
      </c>
      <c r="M24" s="85" t="s">
        <v>249</v>
      </c>
    </row>
    <row r="25" spans="2:13">
      <c r="B25" s="67"/>
      <c r="C25" s="67"/>
      <c r="D25" s="67"/>
      <c r="E25" s="67" t="s">
        <v>236</v>
      </c>
      <c r="F25" s="67" t="s">
        <v>237</v>
      </c>
      <c r="G25" s="78">
        <v>70000000</v>
      </c>
      <c r="H25" s="78">
        <v>85000000</v>
      </c>
      <c r="I25" s="78">
        <v>100000000</v>
      </c>
      <c r="J25" s="78">
        <v>90000000</v>
      </c>
      <c r="K25" s="80"/>
      <c r="L25" s="74"/>
      <c r="M25" s="74"/>
    </row>
    <row r="26" spans="2:13">
      <c r="B26" s="67"/>
      <c r="C26" s="67"/>
      <c r="D26" s="67"/>
      <c r="E26" s="118" t="s">
        <v>238</v>
      </c>
      <c r="F26" s="120" t="s">
        <v>239</v>
      </c>
      <c r="G26" s="86">
        <v>0</v>
      </c>
      <c r="H26" s="86">
        <v>10000000</v>
      </c>
      <c r="I26" s="86">
        <v>5000000</v>
      </c>
      <c r="J26" s="86">
        <v>0</v>
      </c>
      <c r="K26" s="83"/>
      <c r="L26" s="85"/>
      <c r="M26" s="85"/>
    </row>
    <row r="27" spans="2:13">
      <c r="B27" s="67"/>
      <c r="C27" s="67"/>
      <c r="D27" s="67"/>
      <c r="E27" s="118"/>
      <c r="F27" s="120" t="s">
        <v>240</v>
      </c>
      <c r="G27" s="87">
        <v>60000000</v>
      </c>
      <c r="H27" s="87">
        <v>70000000</v>
      </c>
      <c r="I27" s="87">
        <f>IF(I23&gt;I19,I19,70%*I19)</f>
        <v>100000000</v>
      </c>
      <c r="J27" s="87">
        <v>65000000</v>
      </c>
      <c r="K27" s="83" t="s">
        <v>233</v>
      </c>
      <c r="L27" s="85"/>
      <c r="M27" s="85"/>
    </row>
    <row r="28" spans="2:13">
      <c r="B28" s="67"/>
      <c r="C28" s="67"/>
      <c r="D28" s="67"/>
      <c r="E28" s="118"/>
      <c r="F28" s="118" t="s">
        <v>241</v>
      </c>
      <c r="G28" s="86">
        <v>0</v>
      </c>
      <c r="H28" s="87">
        <f>_xlfn.IFS(G24="Tier 0",H26*'Sequential Rule'!$H$5,G24="Tier 1",H26*'Sequential Rule'!$H$6,G24="Tier 2",H26*'Sequential Rule'!$H$7,G24="Tier 3",H26*'Sequential Rule'!$H$8,G24="Tier 4",H26*'Sequential Rule'!$H$9,G24="Tier 5",H26*'Sequential Rule'!$H$10)</f>
        <v>60000</v>
      </c>
      <c r="I28" s="87">
        <f>_xlfn.IFS(H24="Tier 0",I26*'Sequential Rule'!$H$5,H24="Tier 1",I26*'Sequential Rule'!$H$6,H24="Tier 2",I26*'Sequential Rule'!$H$7,H24="Tier 3",I26*'Sequential Rule'!$H$8,H24="Tier 4",I26*'Sequential Rule'!$H$9,H24="Tier 5",I26*'Sequential Rule'!$H$10)</f>
        <v>30000</v>
      </c>
      <c r="J28" s="86">
        <f>_xlfn.IFS(I24="Tier 0",J26*'Sequential Rule'!$H$5,I24="Tier 1",J26*'Sequential Rule'!$H$6,I24="Tier 2",J26*'Sequential Rule'!$H$7,I24="Tier 3",J26*'Sequential Rule'!$H$8,I24="Tier 4",J26*'Sequential Rule'!$H$9,I24="Tier 5",J26*'Sequential Rule'!$H$10)</f>
        <v>0</v>
      </c>
      <c r="K28" s="83"/>
      <c r="L28" s="85"/>
      <c r="M28" s="85"/>
    </row>
    <row r="29" spans="2:13">
      <c r="B29" s="67"/>
      <c r="C29" s="67"/>
      <c r="D29" s="67"/>
      <c r="E29" s="118"/>
      <c r="F29" s="118" t="s">
        <v>242</v>
      </c>
      <c r="G29" s="87">
        <f>_xlfn.IFS(G24="Tier 0",G27*'Sequential Rule'!$H$5,'Business Use Case'!G24="Tier 1",'Business Use Case'!G27*'Sequential Rule'!$H$6,'Business Use Case'!G24="Tier 2",'Business Use Case'!G27*'Sequential Rule'!$H$7,'Business Use Case'!G24="Tier 3",'Business Use Case'!G27*'Sequential Rule'!$H$8,'Business Use Case'!G24="Tier 4",'Business Use Case'!G27*'Sequential Rule'!$H$9,'Business Use Case'!G24="Tier 5",'Business Use Case'!G27*'Sequential Rule'!$H$10)</f>
        <v>360000</v>
      </c>
      <c r="H29" s="87">
        <f>_xlfn.IFS(H24="Tier 0",H27*'Sequential Rule'!$H$5,'Business Use Case'!H24="Tier 1",'Business Use Case'!H27*'Sequential Rule'!$H$6,'Business Use Case'!H24="Tier 2",'Business Use Case'!H27*'Sequential Rule'!$H$7,'Business Use Case'!H24="Tier 3",'Business Use Case'!H27*'Sequential Rule'!$H$8,'Business Use Case'!H24="Tier 4",'Business Use Case'!H27*'Sequential Rule'!$H$9,'Business Use Case'!H24="Tier 5",'Business Use Case'!H27*'Sequential Rule'!$H$10)</f>
        <v>420000</v>
      </c>
      <c r="I29" s="87">
        <f>_xlfn.IFS(I24="Tier 0",I27*'Sequential Rule'!$H$5,'Business Use Case'!I24="Tier 1",'Business Use Case'!I27*'Sequential Rule'!$H$6,'Business Use Case'!I24="Tier 2",'Business Use Case'!I27*'Sequential Rule'!$H$7,'Business Use Case'!I24="Tier 3",'Business Use Case'!I27*'Sequential Rule'!$H$8,'Business Use Case'!I24="Tier 4",'Business Use Case'!I27*'Sequential Rule'!$H$9,'Business Use Case'!I24="Tier 5",'Business Use Case'!I27*'Sequential Rule'!$H$10)</f>
        <v>750000</v>
      </c>
      <c r="J29" s="87">
        <f>_xlfn.IFS(J24="Tier 0",J27*'Sequential Rule'!$H$5,'Business Use Case'!J24="Tier 1",'Business Use Case'!J27*'Sequential Rule'!$H$6,'Business Use Case'!J24="Tier 2",'Business Use Case'!J27*'Sequential Rule'!$H$7,'Business Use Case'!J24="Tier 3",'Business Use Case'!J27*'Sequential Rule'!$H$8,'Business Use Case'!J24="Tier 4",'Business Use Case'!J27*'Sequential Rule'!$H$9,'Business Use Case'!J24="Tier 5",'Business Use Case'!J27*'Sequential Rule'!$H$10)</f>
        <v>438750</v>
      </c>
      <c r="K29" s="83" t="s">
        <v>233</v>
      </c>
      <c r="L29" s="85"/>
      <c r="M29" s="85"/>
    </row>
    <row r="30" spans="2:13">
      <c r="B30" s="67"/>
      <c r="C30" s="67"/>
      <c r="D30" s="67"/>
      <c r="E30" s="118"/>
      <c r="F30" s="121" t="s">
        <v>243</v>
      </c>
      <c r="G30" s="88">
        <f>SUM(G28:G29)</f>
        <v>360000</v>
      </c>
      <c r="H30" s="88">
        <f>SUM(H28:H29)</f>
        <v>480000</v>
      </c>
      <c r="I30" s="88">
        <f>SUM(I28:I29)</f>
        <v>780000</v>
      </c>
      <c r="J30" s="122">
        <f>SUM(J28:J29)</f>
        <v>438750</v>
      </c>
      <c r="K30" s="83"/>
      <c r="L30" s="85"/>
      <c r="M30" s="85"/>
    </row>
    <row r="31" spans="2:13">
      <c r="B31" s="67"/>
      <c r="C31" s="67"/>
      <c r="D31" s="67"/>
      <c r="E31" s="67"/>
      <c r="F31" s="71" t="s">
        <v>244</v>
      </c>
      <c r="G31" s="55">
        <f>IF(AND(G20&gt;0,G23&gt;G19),G23-G27,0)</f>
        <v>0</v>
      </c>
      <c r="H31" s="55">
        <f>IF(AND(H20&gt;0,H23&gt;H19),H23-H27,0)</f>
        <v>0</v>
      </c>
      <c r="I31" s="55">
        <f>IF(AND(I20&gt;0,I23&gt;I19),I23-I27,0)</f>
        <v>45000000</v>
      </c>
      <c r="J31" s="55">
        <f>IF(AND(J20&gt;0,J23&gt;J19),J23-J27,0)</f>
        <v>0</v>
      </c>
      <c r="K31" s="68" t="s">
        <v>233</v>
      </c>
      <c r="L31" s="75"/>
      <c r="M31" s="75"/>
    </row>
    <row r="32" spans="2:13" ht="15" thickBot="1">
      <c r="B32" s="70"/>
      <c r="C32" s="70"/>
      <c r="D32" s="70"/>
      <c r="E32" s="70"/>
      <c r="F32" s="72" t="s">
        <v>245</v>
      </c>
      <c r="G32" s="58">
        <f>1%*G31</f>
        <v>0</v>
      </c>
      <c r="H32" s="58">
        <f t="shared" ref="H32:J32" si="0">1%*H31</f>
        <v>0</v>
      </c>
      <c r="I32" s="58">
        <f t="shared" si="0"/>
        <v>450000</v>
      </c>
      <c r="J32" s="58">
        <f t="shared" si="0"/>
        <v>0</v>
      </c>
      <c r="K32" s="68" t="s">
        <v>233</v>
      </c>
      <c r="L32" s="76"/>
      <c r="M32" s="76"/>
    </row>
    <row r="33" spans="2:13">
      <c r="B33" s="114" t="s">
        <v>250</v>
      </c>
      <c r="C33" s="114" t="s">
        <v>223</v>
      </c>
      <c r="D33" s="66" t="s">
        <v>247</v>
      </c>
      <c r="E33" s="66"/>
      <c r="F33" s="66" t="s">
        <v>225</v>
      </c>
      <c r="G33" s="46">
        <v>100000000</v>
      </c>
      <c r="H33" s="46">
        <v>100000000</v>
      </c>
      <c r="I33" s="46">
        <v>100000000</v>
      </c>
      <c r="J33" s="46">
        <v>100000000</v>
      </c>
      <c r="K33" s="66"/>
      <c r="L33" s="73"/>
      <c r="M33" s="73"/>
    </row>
    <row r="34" spans="2:13">
      <c r="B34" s="115"/>
      <c r="C34" s="115"/>
      <c r="D34" s="67"/>
      <c r="E34" s="67"/>
      <c r="F34" s="67" t="s">
        <v>226</v>
      </c>
      <c r="G34" s="49">
        <v>0</v>
      </c>
      <c r="H34" s="49">
        <v>0</v>
      </c>
      <c r="I34" s="49">
        <f>I19/COUNTA($D$19:$D$43)</f>
        <v>50000000</v>
      </c>
      <c r="J34" s="49">
        <f>($J$5-$J$61)/COUNTA($C$19:$C$46)</f>
        <v>30000000</v>
      </c>
      <c r="K34" s="67"/>
      <c r="L34" s="74"/>
      <c r="M34" s="74"/>
    </row>
    <row r="35" spans="2:13">
      <c r="B35" s="115"/>
      <c r="C35" s="115"/>
      <c r="D35" s="67"/>
      <c r="E35" s="67"/>
      <c r="F35" s="67" t="s">
        <v>227</v>
      </c>
      <c r="G35" s="49">
        <v>100000000</v>
      </c>
      <c r="H35" s="49">
        <v>95000000</v>
      </c>
      <c r="I35" s="49">
        <v>100000000</v>
      </c>
      <c r="J35" s="49">
        <v>120000000</v>
      </c>
      <c r="K35" s="67"/>
      <c r="L35" s="74"/>
      <c r="M35" s="74"/>
    </row>
    <row r="36" spans="2:13">
      <c r="B36" s="67"/>
      <c r="C36" s="67"/>
      <c r="D36" s="67"/>
      <c r="E36" s="67"/>
      <c r="F36" s="67" t="s">
        <v>228</v>
      </c>
      <c r="G36" s="62">
        <v>1000000</v>
      </c>
      <c r="H36" s="62">
        <v>1000000</v>
      </c>
      <c r="I36" s="51">
        <v>0</v>
      </c>
      <c r="J36" s="51"/>
      <c r="K36" s="67"/>
      <c r="L36" s="74"/>
      <c r="M36" s="74"/>
    </row>
    <row r="37" spans="2:13">
      <c r="B37" s="67"/>
      <c r="C37" s="67"/>
      <c r="D37" s="67"/>
      <c r="E37" s="67"/>
      <c r="F37" s="67" t="s">
        <v>229</v>
      </c>
      <c r="G37" s="49">
        <v>100000000</v>
      </c>
      <c r="H37" s="49">
        <f>H35-G36-H36</f>
        <v>93000000</v>
      </c>
      <c r="I37" s="49">
        <f>I35-I36</f>
        <v>100000000</v>
      </c>
      <c r="J37" s="49">
        <v>105000000</v>
      </c>
      <c r="K37" s="67"/>
      <c r="L37" s="74"/>
      <c r="M37" s="74"/>
    </row>
    <row r="38" spans="2:13">
      <c r="B38" s="67"/>
      <c r="C38" s="67"/>
      <c r="D38" s="67"/>
      <c r="E38" s="118" t="s">
        <v>230</v>
      </c>
      <c r="F38" s="119" t="s">
        <v>231</v>
      </c>
      <c r="G38" s="91" t="str">
        <f>_xlfn.IFS((G37/G33)&lt;75%,"Tier 0",AND((G37/G33)&gt;=75%,(G37/G33)&lt;85%),"Tier 1",AND((G37/G33)&gt;=85%,(G37/G33)&lt;90%),"Tier 2",AND((G37/G33)&gt;=90%,(G37/G33)&lt;100%),"Tier 3",AND((G37/G33)&gt;=100%,(G37/G33)&lt;110%),"Tier 4",(G37/G33)&gt;=110%,"Tier 5")</f>
        <v>Tier 4</v>
      </c>
      <c r="H38" s="91" t="str">
        <f>_xlfn.IFS((H37/H33)&lt;75%,"Tier 0",AND((H37/H33)&gt;=75%,(H37/H33)&lt;85%),"Tier 1",AND((H37/H33)&gt;=85%,(H37/H33)&lt;90%),"Tier 2",AND((H37/H33)&gt;=90%,(H37/H33)&lt;100%),"Tier 3",AND((H37/H33)&gt;=100%,(H37/H33)&lt;110%),"Tier 4",(H37/H33)&gt;=110%,"Tier 5")</f>
        <v>Tier 3</v>
      </c>
      <c r="I38" s="91" t="str">
        <f>_xlfn.IFS((I37/I33)&lt;75%,"Tier 0",AND((I37/I33)&gt;=75%,(I37/I33)&lt;85%),"Tier 1",AND((I37/I33)&gt;=85%,(I37/I33)&lt;90%),"Tier 2",AND((I37/I33)&gt;=90%,(I37/I33)&lt;100%),"Tier 3",AND((I37/I33)&gt;=100%,(I37/I33)&lt;110%),"Tier 4",(I37/I33)&gt;=110%,"Tier 4")</f>
        <v>Tier 4</v>
      </c>
      <c r="J38" s="91" t="str">
        <f>_xlfn.IFS((J37/J33)&lt;75%,"Tier 0",AND((J37/J33)&gt;=75%,(J37/J33)&lt;85%),"Tier 1",AND((J37/J33)&gt;=85%,(J37/J33)&lt;90%),"Tier 2",AND((J37/J33)&gt;=90%,(J37/J33)&lt;100%),"Tier 3",AND((J37/J33)&gt;=100%,(J37/J33)&lt;110%),"Tier 4",(J37/J33)&gt;=110%,"Tier 4")</f>
        <v>Tier 4</v>
      </c>
      <c r="K38" s="83" t="s">
        <v>233</v>
      </c>
      <c r="L38" s="84" t="s">
        <v>251</v>
      </c>
      <c r="M38" s="85" t="s">
        <v>252</v>
      </c>
    </row>
    <row r="39" spans="2:13">
      <c r="B39" s="67"/>
      <c r="C39" s="67"/>
      <c r="D39" s="67"/>
      <c r="E39" s="67" t="s">
        <v>236</v>
      </c>
      <c r="F39" s="67" t="s">
        <v>237</v>
      </c>
      <c r="G39" s="78">
        <v>60000000</v>
      </c>
      <c r="H39" s="78">
        <v>80000000</v>
      </c>
      <c r="I39" s="78">
        <v>90000000</v>
      </c>
      <c r="J39" s="78">
        <v>100000000</v>
      </c>
      <c r="K39" s="80"/>
      <c r="L39" s="81"/>
      <c r="M39" s="74"/>
    </row>
    <row r="40" spans="2:13">
      <c r="B40" s="67"/>
      <c r="C40" s="67"/>
      <c r="D40" s="67"/>
      <c r="E40" s="118" t="s">
        <v>238</v>
      </c>
      <c r="F40" s="120" t="s">
        <v>239</v>
      </c>
      <c r="G40" s="86">
        <v>0</v>
      </c>
      <c r="H40" s="86">
        <v>0</v>
      </c>
      <c r="I40" s="86">
        <v>10000000</v>
      </c>
      <c r="J40" s="86">
        <v>0</v>
      </c>
      <c r="K40" s="83"/>
      <c r="L40" s="84"/>
      <c r="M40" s="85"/>
    </row>
    <row r="41" spans="2:13">
      <c r="B41" s="67"/>
      <c r="C41" s="67"/>
      <c r="D41" s="67"/>
      <c r="E41" s="118"/>
      <c r="F41" s="120" t="s">
        <v>240</v>
      </c>
      <c r="G41" s="87">
        <v>60000000</v>
      </c>
      <c r="H41" s="87">
        <v>70000000</v>
      </c>
      <c r="I41" s="87">
        <f>IF(I37&gt;I33,I33,70%*I33)</f>
        <v>70000000</v>
      </c>
      <c r="J41" s="87">
        <f>IF(J37&gt;J33,J33,70%*J33)</f>
        <v>100000000</v>
      </c>
      <c r="K41" s="83" t="s">
        <v>233</v>
      </c>
      <c r="L41" s="85"/>
      <c r="M41" s="85"/>
    </row>
    <row r="42" spans="2:13">
      <c r="B42" s="67"/>
      <c r="C42" s="67"/>
      <c r="D42" s="67"/>
      <c r="E42" s="118"/>
      <c r="F42" s="118" t="s">
        <v>241</v>
      </c>
      <c r="G42" s="92">
        <v>0</v>
      </c>
      <c r="H42" s="93">
        <f>_xlfn.IFS(G38="Tier 0",H40*'Sequential Rule'!$H$5,G38="Tier 1",H40*'Sequential Rule'!$H$6,G38="Tier 2",H40*'Sequential Rule'!$H$7,G38="Tier 3",H40*'Sequential Rule'!$H$8,G38="Tier 4",H40*'Sequential Rule'!$H$9,G38="Tier 5",H40*'Sequential Rule'!$H$10)</f>
        <v>0</v>
      </c>
      <c r="I42" s="93">
        <f>_xlfn.IFS(H38="Tier 0",I40*'Sequential Rule'!$H$5,H38="Tier 1",I40*'Sequential Rule'!$H$6,H38="Tier 2",I40*'Sequential Rule'!$H$7,H38="Tier 3",I40*'Sequential Rule'!$H$8,H38="Tier 4",I40*'Sequential Rule'!$H$9,H38="Tier 5",I40*'Sequential Rule'!$H$10)</f>
        <v>67500</v>
      </c>
      <c r="J42" s="93">
        <f>_xlfn.IFS(I38="Tier 0",J40*'Sequential Rule'!$H$5,I38="Tier 1",J40*'Sequential Rule'!$H$6,I38="Tier 2",J40*'Sequential Rule'!$H$7,I38="Tier 3",J40*'Sequential Rule'!$H$8,I38="Tier 4",J40*'Sequential Rule'!$H$9,I38="Tier 5",J40*'Sequential Rule'!$H$10)</f>
        <v>0</v>
      </c>
      <c r="K42" s="83" t="s">
        <v>233</v>
      </c>
      <c r="L42" s="85"/>
      <c r="M42" s="85"/>
    </row>
    <row r="43" spans="2:13">
      <c r="B43" s="67"/>
      <c r="C43" s="67"/>
      <c r="D43" s="67"/>
      <c r="E43" s="118"/>
      <c r="F43" s="118" t="s">
        <v>242</v>
      </c>
      <c r="G43" s="87">
        <f>_xlfn.IFS(G38="Tier 0",G41*'Sequential Rule'!$H$5,'Business Use Case'!G38="Tier 1",'Business Use Case'!G41*'Sequential Rule'!$H$6,'Business Use Case'!G38="Tier 2",'Business Use Case'!G41*'Sequential Rule'!$H$7,'Business Use Case'!G38="Tier 3",'Business Use Case'!G41*'Sequential Rule'!$H$8,'Business Use Case'!G38="Tier 4",'Business Use Case'!G41*'Sequential Rule'!$H$9,'Business Use Case'!G38="Tier 5",'Business Use Case'!G41*'Sequential Rule'!$H$10)</f>
        <v>450000</v>
      </c>
      <c r="H43" s="87">
        <f>_xlfn.IFS(H38="Tier 0",H41*'Sequential Rule'!$H$5,'Business Use Case'!H38="Tier 1",'Business Use Case'!H41*'Sequential Rule'!$H$6,'Business Use Case'!H38="Tier 2",'Business Use Case'!H41*'Sequential Rule'!$H$7,'Business Use Case'!H38="Tier 3",'Business Use Case'!H41*'Sequential Rule'!$H$8,'Business Use Case'!H38="Tier 4",'Business Use Case'!H41*'Sequential Rule'!$H$9,'Business Use Case'!H38="Tier 5",'Business Use Case'!H41*'Sequential Rule'!$H$10)</f>
        <v>472500</v>
      </c>
      <c r="I43" s="87">
        <f>_xlfn.IFS(I38="Tier 0",I41*'Sequential Rule'!$H$5,'Business Use Case'!I38="Tier 1",'Business Use Case'!I41*'Sequential Rule'!$H$6,'Business Use Case'!I38="Tier 2",'Business Use Case'!I41*'Sequential Rule'!$H$7,'Business Use Case'!I38="Tier 3",'Business Use Case'!I41*'Sequential Rule'!$H$8,'Business Use Case'!I38="Tier 4",'Business Use Case'!I41*'Sequential Rule'!$H$9,'Business Use Case'!I38="Tier 5",'Business Use Case'!I41*'Sequential Rule'!$H$10)</f>
        <v>525000</v>
      </c>
      <c r="J43" s="87">
        <f>_xlfn.IFS(J38="Tier 0",J41*'Sequential Rule'!$H$5,'Business Use Case'!J38="Tier 1",'Business Use Case'!J41*'Sequential Rule'!$H$6,'Business Use Case'!J38="Tier 2",'Business Use Case'!J41*'Sequential Rule'!$H$7,'Business Use Case'!J38="Tier 3",'Business Use Case'!J41*'Sequential Rule'!$H$8,'Business Use Case'!J38="Tier 4",'Business Use Case'!J41*'Sequential Rule'!$H$9,'Business Use Case'!J38="Tier 5",'Business Use Case'!J41*'Sequential Rule'!$H$10)</f>
        <v>750000</v>
      </c>
      <c r="K43" s="83" t="s">
        <v>233</v>
      </c>
      <c r="L43" s="84" t="s">
        <v>253</v>
      </c>
      <c r="M43" s="85" t="s">
        <v>254</v>
      </c>
    </row>
    <row r="44" spans="2:13">
      <c r="B44" s="67"/>
      <c r="C44" s="67"/>
      <c r="D44" s="67"/>
      <c r="E44" s="118"/>
      <c r="F44" s="121" t="s">
        <v>243</v>
      </c>
      <c r="G44" s="88">
        <f>SUM(G42:G43)</f>
        <v>450000</v>
      </c>
      <c r="H44" s="88">
        <f t="shared" ref="H44:J44" si="1">SUM(H42:H43)</f>
        <v>472500</v>
      </c>
      <c r="I44" s="88">
        <f t="shared" si="1"/>
        <v>592500</v>
      </c>
      <c r="J44" s="88">
        <f t="shared" si="1"/>
        <v>750000</v>
      </c>
      <c r="K44" s="83" t="s">
        <v>233</v>
      </c>
      <c r="L44" s="84"/>
      <c r="M44" s="85"/>
    </row>
    <row r="45" spans="2:13">
      <c r="B45" s="67"/>
      <c r="C45" s="67"/>
      <c r="D45" s="67"/>
      <c r="E45" s="67"/>
      <c r="F45" s="71" t="s">
        <v>244</v>
      </c>
      <c r="G45" s="55">
        <f t="shared" ref="G45:H45" si="2">IF(AND(G34&gt;0,G37&gt;G33),G37-G41,0)</f>
        <v>0</v>
      </c>
      <c r="H45" s="55">
        <f t="shared" si="2"/>
        <v>0</v>
      </c>
      <c r="I45" s="55">
        <f>IF(AND(I34&gt;0,I37&gt;I33),I37-I41,0)</f>
        <v>0</v>
      </c>
      <c r="J45" s="55">
        <f>IF(AND(J34&gt;0,J37&gt;J33),J37-J41,0)</f>
        <v>5000000</v>
      </c>
      <c r="K45" s="68" t="s">
        <v>233</v>
      </c>
      <c r="L45" s="75"/>
      <c r="M45" s="75"/>
    </row>
    <row r="46" spans="2:13" ht="15" thickBot="1">
      <c r="B46" s="70"/>
      <c r="C46" s="70"/>
      <c r="D46" s="70"/>
      <c r="E46" s="70"/>
      <c r="F46" s="72" t="s">
        <v>245</v>
      </c>
      <c r="G46" s="58">
        <f>1%*G45</f>
        <v>0</v>
      </c>
      <c r="H46" s="58">
        <f t="shared" ref="H46" si="3">1%*H45</f>
        <v>0</v>
      </c>
      <c r="I46" s="58">
        <f t="shared" ref="I46:J46" si="4">1%*I45</f>
        <v>0</v>
      </c>
      <c r="J46" s="58">
        <f t="shared" si="4"/>
        <v>50000</v>
      </c>
      <c r="K46" s="68" t="s">
        <v>233</v>
      </c>
      <c r="L46" s="76"/>
      <c r="M46" s="76"/>
    </row>
    <row r="47" spans="2:13">
      <c r="B47" s="114" t="s">
        <v>255</v>
      </c>
      <c r="C47" s="114" t="s">
        <v>256</v>
      </c>
      <c r="D47" s="66" t="s">
        <v>247</v>
      </c>
      <c r="E47" s="66"/>
      <c r="F47" s="66" t="s">
        <v>225</v>
      </c>
      <c r="G47" s="46">
        <v>100000000</v>
      </c>
      <c r="H47" s="46">
        <v>100000000</v>
      </c>
      <c r="I47" s="46">
        <v>100000000</v>
      </c>
      <c r="J47" s="46">
        <v>100000000</v>
      </c>
      <c r="K47" s="66"/>
      <c r="L47" s="73"/>
      <c r="M47" s="73"/>
    </row>
    <row r="48" spans="2:13">
      <c r="B48" s="115"/>
      <c r="C48" s="115"/>
      <c r="D48" s="67"/>
      <c r="E48" s="67"/>
      <c r="F48" s="67" t="s">
        <v>226</v>
      </c>
      <c r="G48" s="49">
        <v>0</v>
      </c>
      <c r="H48" s="49">
        <v>0</v>
      </c>
      <c r="I48" s="49">
        <v>0</v>
      </c>
      <c r="J48" s="49">
        <v>0</v>
      </c>
      <c r="K48" s="67"/>
      <c r="L48" s="74"/>
      <c r="M48" s="74"/>
    </row>
    <row r="49" spans="2:13">
      <c r="B49" s="115"/>
      <c r="C49" s="115"/>
      <c r="D49" s="67"/>
      <c r="E49" s="67"/>
      <c r="F49" s="67" t="s">
        <v>227</v>
      </c>
      <c r="G49" s="49">
        <v>90000000</v>
      </c>
      <c r="H49" s="49">
        <v>90000000</v>
      </c>
      <c r="I49" s="49">
        <v>110000000</v>
      </c>
      <c r="J49" s="49">
        <v>70000000</v>
      </c>
      <c r="K49" s="67"/>
      <c r="L49" s="74"/>
      <c r="M49" s="74"/>
    </row>
    <row r="50" spans="2:13">
      <c r="B50" s="67"/>
      <c r="C50" s="67"/>
      <c r="D50" s="67"/>
      <c r="E50" s="67"/>
      <c r="F50" s="67" t="s">
        <v>228</v>
      </c>
      <c r="G50" s="49">
        <v>3000000</v>
      </c>
      <c r="H50" s="49">
        <v>5000000</v>
      </c>
      <c r="I50" s="51"/>
      <c r="J50" s="51"/>
      <c r="K50" s="67"/>
      <c r="L50" s="74"/>
      <c r="M50" s="74"/>
    </row>
    <row r="51" spans="2:13">
      <c r="B51" s="67"/>
      <c r="C51" s="67"/>
      <c r="D51" s="67"/>
      <c r="E51" s="67"/>
      <c r="F51" s="67" t="s">
        <v>229</v>
      </c>
      <c r="G51" s="49">
        <v>86000000</v>
      </c>
      <c r="H51" s="49">
        <f>H49-G50-H50</f>
        <v>82000000</v>
      </c>
      <c r="I51" s="49">
        <f>I49</f>
        <v>110000000</v>
      </c>
      <c r="J51" s="49">
        <f>J49</f>
        <v>70000000</v>
      </c>
      <c r="K51" s="67"/>
      <c r="L51" s="74"/>
      <c r="M51" s="74"/>
    </row>
    <row r="52" spans="2:13">
      <c r="B52" s="67"/>
      <c r="C52" s="67"/>
      <c r="D52" s="67"/>
      <c r="E52" s="118" t="s">
        <v>230</v>
      </c>
      <c r="F52" s="119" t="s">
        <v>231</v>
      </c>
      <c r="G52" s="91" t="str">
        <f>_xlfn.IFS((G51/G47)&lt;75%,"Tier 0",AND((G51/G47)&gt;=75%,(G51/G47)&lt;85%),"Tier 1",AND((G51/G47)&gt;=85%,(G51/G47)&lt;90%),"Tier 2",AND((G51/G47)&gt;=90%,(G51/G47)&lt;100%),"Tier 3",AND((G51/G47)&gt;=100%,(G51/G47)&lt;110%),"Tier 4",(G51/G47)&gt;=110%,"Tier 5")</f>
        <v>Tier 2</v>
      </c>
      <c r="H52" s="91" t="str">
        <f>_xlfn.IFS((H51/H47)&lt;75%,"Tier 0",AND((H51/H47)&gt;=75%,(H51/H47)&lt;85%),"Tier 1",AND((H51/H47)&gt;=85%,(H51/H47)&lt;90%),"Tier 2",AND((H51/H47)&gt;=90%,(H51/H47)&lt;100%),"Tier 3",AND((H51/H47)&gt;=100%,(H51/H47)&lt;110%),"Tier 4",(H51/H47)&gt;=110%,"Tier 5")</f>
        <v>Tier 1</v>
      </c>
      <c r="I52" s="91" t="str">
        <f>_xlfn.IFS((I51/I47)&lt;75%,"Tier 0",AND((I51/I47)&gt;=75%,(I51/I47)&lt;85%),"Tier 1",AND((I51/I47)&gt;=85%,(I51/I47)&lt;90%),"Tier 2",AND((I51/I47)&gt;=90%,(I51/I47)&lt;100%),"Tier 3",AND((I51/I47)&gt;=100%,(I51/I47)&lt;110%),"Tier 4",(I51/I47)&gt;=110%,"Tier 5")</f>
        <v>Tier 5</v>
      </c>
      <c r="J52" s="91" t="str">
        <f>_xlfn.IFS((J51/J47)&lt;75%,"Tier 0",AND((J51/J47)&gt;=75%,(J51/J47)&lt;85%),"Tier 1",AND((J51/J47)&gt;=85%,(J51/J47)&lt;90%),"Tier 2",AND((J51/J47)&gt;=90%,(J51/J47)&lt;100%),"Tier 3",AND((J51/J47)&gt;=100%,(J51/J47)&lt;110%),"Tier 4",(J51/J47)&gt;=110%,"Tier 5")</f>
        <v>Tier 0</v>
      </c>
      <c r="K52" s="83" t="s">
        <v>233</v>
      </c>
      <c r="L52" s="84" t="s">
        <v>257</v>
      </c>
      <c r="M52" s="85" t="s">
        <v>258</v>
      </c>
    </row>
    <row r="53" spans="2:13">
      <c r="B53" s="67"/>
      <c r="C53" s="67"/>
      <c r="D53" s="67"/>
      <c r="E53" s="67" t="s">
        <v>236</v>
      </c>
      <c r="F53" s="67" t="s">
        <v>237</v>
      </c>
      <c r="G53" s="78">
        <v>65000000</v>
      </c>
      <c r="H53" s="78">
        <v>70000000</v>
      </c>
      <c r="I53" s="78">
        <v>105000000</v>
      </c>
      <c r="J53" s="78">
        <v>65000000</v>
      </c>
      <c r="K53" s="80"/>
      <c r="L53" s="81"/>
      <c r="M53" s="74"/>
    </row>
    <row r="54" spans="2:13">
      <c r="B54" s="67"/>
      <c r="C54" s="67"/>
      <c r="D54" s="67"/>
      <c r="E54" s="118" t="s">
        <v>238</v>
      </c>
      <c r="F54" s="120" t="s">
        <v>239</v>
      </c>
      <c r="G54" s="86">
        <v>0</v>
      </c>
      <c r="H54" s="86">
        <v>5000000</v>
      </c>
      <c r="I54" s="86">
        <v>0</v>
      </c>
      <c r="J54" s="86">
        <v>0</v>
      </c>
      <c r="K54" s="83"/>
      <c r="L54" s="84"/>
      <c r="M54" s="85"/>
    </row>
    <row r="55" spans="2:13">
      <c r="B55" s="67"/>
      <c r="C55" s="67"/>
      <c r="D55" s="67"/>
      <c r="E55" s="118"/>
      <c r="F55" s="120" t="s">
        <v>240</v>
      </c>
      <c r="G55" s="87">
        <v>60000000</v>
      </c>
      <c r="H55" s="87">
        <v>70000000</v>
      </c>
      <c r="I55" s="87">
        <v>105000000</v>
      </c>
      <c r="J55" s="87">
        <v>65000000</v>
      </c>
      <c r="K55" s="83" t="s">
        <v>233</v>
      </c>
      <c r="L55" s="85"/>
      <c r="M55" s="85"/>
    </row>
    <row r="56" spans="2:13">
      <c r="B56" s="67"/>
      <c r="C56" s="67"/>
      <c r="D56" s="67"/>
      <c r="E56" s="118"/>
      <c r="F56" s="118" t="s">
        <v>241</v>
      </c>
      <c r="G56" s="93">
        <v>0</v>
      </c>
      <c r="H56" s="93">
        <f>_xlfn.IFS(G52="Tier 0",H54*'Sequential Rule'!$H$5,G52="Tier 1",H54*'Sequential Rule'!$H$6,G52="Tier 2",H54*'Sequential Rule'!$H$7,G52="Tier 3",H54*'Sequential Rule'!$H$8,G52="Tier 4",H54*'Sequential Rule'!$H$9,G52="Tier 5",H54*'Sequential Rule'!$H$10)</f>
        <v>30000</v>
      </c>
      <c r="I56" s="93">
        <f>_xlfn.IFS(H52="Tier 0",I54*'Sequential Rule'!$H$5,H52="Tier 1",I54*'Sequential Rule'!$H$6,H52="Tier 2",I54*'Sequential Rule'!$H$7,H52="Tier 3",I54*'Sequential Rule'!$H$8,H52="Tier 4",I54*'Sequential Rule'!$H$9,H52="Tier 5",I54*'Sequential Rule'!$H$10)</f>
        <v>0</v>
      </c>
      <c r="J56" s="93">
        <f>_xlfn.IFS(I52="Tier 0",J54*'Sequential Rule'!$H$5,I52="Tier 1",J54*'Sequential Rule'!$H$6,I52="Tier 2",J54*'Sequential Rule'!$H$7,I52="Tier 3",J54*'Sequential Rule'!$H$8,I52="Tier 4",J54*'Sequential Rule'!$H$9,I52="Tier 5",J54*'Sequential Rule'!$H$10)</f>
        <v>0</v>
      </c>
      <c r="K56" s="83" t="s">
        <v>233</v>
      </c>
      <c r="L56" s="85"/>
      <c r="M56" s="85"/>
    </row>
    <row r="57" spans="2:13">
      <c r="B57" s="67"/>
      <c r="C57" s="67"/>
      <c r="D57" s="67"/>
      <c r="E57" s="118"/>
      <c r="F57" s="118" t="s">
        <v>242</v>
      </c>
      <c r="G57" s="87">
        <f>_xlfn.IFS(G52="Tier 0",G55*'Sequential Rule'!$H$5,'Business Use Case'!G52="Tier 1",'Business Use Case'!G55*'Sequential Rule'!$H$6,'Business Use Case'!G52="Tier 2",'Business Use Case'!G55*'Sequential Rule'!$H$7,'Business Use Case'!G52="Tier 3",'Business Use Case'!G55*'Sequential Rule'!$H$8,'Business Use Case'!G52="Tier 4",'Business Use Case'!G55*'Sequential Rule'!$H$9,'Business Use Case'!G52="Tier 5",'Business Use Case'!G55*'Sequential Rule'!$H$10)</f>
        <v>360000</v>
      </c>
      <c r="H57" s="87">
        <f>_xlfn.IFS(H52="Tier 0",H55*'Sequential Rule'!$H$5,'Business Use Case'!H52="Tier 1",'Business Use Case'!H55*'Sequential Rule'!$H$6,'Business Use Case'!H52="Tier 2",'Business Use Case'!H55*'Sequential Rule'!$H$7,'Business Use Case'!H52="Tier 3",'Business Use Case'!H55*'Sequential Rule'!$H$8,'Business Use Case'!H52="Tier 4",'Business Use Case'!H55*'Sequential Rule'!$H$9,'Business Use Case'!H52="Tier 5",'Business Use Case'!H55*'Sequential Rule'!$H$10)</f>
        <v>210000</v>
      </c>
      <c r="I57" s="87">
        <f>_xlfn.IFS(I52="Tier 0",I55*'Sequential Rule'!$H$5,'Business Use Case'!I52="Tier 1",'Business Use Case'!I55*'Sequential Rule'!$H$6,'Business Use Case'!I52="Tier 2",'Business Use Case'!I55*'Sequential Rule'!$H$7,'Business Use Case'!I52="Tier 3",'Business Use Case'!I55*'Sequential Rule'!$H$8,'Business Use Case'!I52="Tier 4",'Business Use Case'!I55*'Sequential Rule'!$H$9,'Business Use Case'!I52="Tier 5",'Business Use Case'!I55*'Sequential Rule'!$H$10)</f>
        <v>826875</v>
      </c>
      <c r="J57" s="87">
        <f>_xlfn.IFS(J52="Tier 0",J55*'Sequential Rule'!$H$5,'Business Use Case'!J52="Tier 1",'Business Use Case'!J55*'Sequential Rule'!$H$6,'Business Use Case'!J52="Tier 2",'Business Use Case'!J55*'Sequential Rule'!$H$7,'Business Use Case'!J52="Tier 3",'Business Use Case'!J55*'Sequential Rule'!$H$8,'Business Use Case'!J52="Tier 4",'Business Use Case'!J55*'Sequential Rule'!$H$9,'Business Use Case'!J52="Tier 5",'Business Use Case'!J55*'Sequential Rule'!$H$10)</f>
        <v>0</v>
      </c>
      <c r="K57" s="83" t="s">
        <v>233</v>
      </c>
      <c r="L57" s="84" t="s">
        <v>259</v>
      </c>
      <c r="M57" s="85" t="s">
        <v>260</v>
      </c>
    </row>
    <row r="58" spans="2:13">
      <c r="B58" s="67"/>
      <c r="C58" s="67"/>
      <c r="D58" s="67"/>
      <c r="E58" s="118"/>
      <c r="F58" s="121" t="s">
        <v>243</v>
      </c>
      <c r="G58" s="88">
        <f>SUM(G56:G57)</f>
        <v>360000</v>
      </c>
      <c r="H58" s="88">
        <f t="shared" ref="H58:J58" si="5">SUM(H56:H57)</f>
        <v>240000</v>
      </c>
      <c r="I58" s="88">
        <f t="shared" si="5"/>
        <v>826875</v>
      </c>
      <c r="J58" s="88">
        <f t="shared" si="5"/>
        <v>0</v>
      </c>
      <c r="K58" s="83" t="s">
        <v>233</v>
      </c>
      <c r="L58" s="84"/>
      <c r="M58" s="85"/>
    </row>
    <row r="59" spans="2:13">
      <c r="B59" s="67"/>
      <c r="C59" s="67"/>
      <c r="D59" s="67"/>
      <c r="E59" s="67"/>
      <c r="F59" s="71" t="s">
        <v>244</v>
      </c>
      <c r="G59" s="55">
        <f>IF(AND(G48&gt;0,G51&gt;G47),G51-G55,0)</f>
        <v>0</v>
      </c>
      <c r="H59" s="55">
        <f t="shared" ref="H59" si="6">IF(AND(H48&gt;0,H51&gt;H47),H51-H55,0)</f>
        <v>0</v>
      </c>
      <c r="I59" s="55">
        <f>IF(AND(I48&gt;0,I51&gt;I47),I51-I55,0)</f>
        <v>0</v>
      </c>
      <c r="J59" s="55">
        <f>IF(AND(J48&gt;0,J51&gt;J47),J51-J55,0)</f>
        <v>0</v>
      </c>
      <c r="K59" s="68" t="s">
        <v>233</v>
      </c>
      <c r="L59" s="75"/>
      <c r="M59" s="75"/>
    </row>
    <row r="60" spans="2:13" ht="15" thickBot="1">
      <c r="B60" s="70"/>
      <c r="C60" s="70"/>
      <c r="D60" s="70"/>
      <c r="E60" s="70"/>
      <c r="F60" s="72" t="s">
        <v>245</v>
      </c>
      <c r="G60" s="58">
        <f>1%*G59</f>
        <v>0</v>
      </c>
      <c r="H60" s="58">
        <f t="shared" ref="H60:J60" si="7">1%*H59</f>
        <v>0</v>
      </c>
      <c r="I60" s="58">
        <f t="shared" si="7"/>
        <v>0</v>
      </c>
      <c r="J60" s="58">
        <f t="shared" si="7"/>
        <v>0</v>
      </c>
      <c r="K60" s="68" t="s">
        <v>233</v>
      </c>
      <c r="L60" s="76"/>
      <c r="M60" s="76"/>
    </row>
    <row r="61" spans="2:13">
      <c r="B61" s="114" t="s">
        <v>261</v>
      </c>
      <c r="C61" s="114" t="s">
        <v>223</v>
      </c>
      <c r="D61" s="66" t="s">
        <v>262</v>
      </c>
      <c r="E61" s="66"/>
      <c r="F61" s="66" t="s">
        <v>225</v>
      </c>
      <c r="G61" s="46">
        <v>0</v>
      </c>
      <c r="H61" s="46">
        <v>0</v>
      </c>
      <c r="I61" s="46">
        <v>0</v>
      </c>
      <c r="J61" s="46">
        <f>(12/30)*$J$5</f>
        <v>40000000</v>
      </c>
      <c r="K61" s="66"/>
      <c r="L61" s="73"/>
      <c r="M61" s="73"/>
    </row>
    <row r="62" spans="2:13">
      <c r="B62" s="115"/>
      <c r="C62" s="115"/>
      <c r="D62" s="67" t="s">
        <v>263</v>
      </c>
      <c r="E62" s="67"/>
      <c r="F62" s="67" t="s">
        <v>226</v>
      </c>
      <c r="G62" s="49">
        <v>0</v>
      </c>
      <c r="H62" s="49">
        <v>0</v>
      </c>
      <c r="I62" s="49">
        <v>0</v>
      </c>
      <c r="J62" s="49">
        <v>0</v>
      </c>
      <c r="K62" s="67"/>
      <c r="L62" s="74"/>
      <c r="M62" s="74"/>
    </row>
    <row r="63" spans="2:13">
      <c r="B63" s="115"/>
      <c r="C63" s="115"/>
      <c r="D63" s="67"/>
      <c r="E63" s="67"/>
      <c r="F63" s="67" t="s">
        <v>227</v>
      </c>
      <c r="G63" s="49">
        <v>0</v>
      </c>
      <c r="H63" s="49">
        <v>0</v>
      </c>
      <c r="I63" s="49">
        <v>0</v>
      </c>
      <c r="J63" s="49">
        <v>30000000</v>
      </c>
      <c r="K63" s="67"/>
      <c r="L63" s="74"/>
      <c r="M63" s="74"/>
    </row>
    <row r="64" spans="2:13">
      <c r="B64" s="67"/>
      <c r="C64" s="67"/>
      <c r="D64" s="67"/>
      <c r="E64" s="67"/>
      <c r="F64" s="67" t="s">
        <v>228</v>
      </c>
      <c r="G64" s="49">
        <v>0</v>
      </c>
      <c r="H64" s="49">
        <v>0</v>
      </c>
      <c r="I64" s="49">
        <v>0</v>
      </c>
      <c r="J64" s="51">
        <v>0</v>
      </c>
      <c r="K64" s="67"/>
      <c r="L64" s="74"/>
      <c r="M64" s="74"/>
    </row>
    <row r="65" spans="2:13">
      <c r="B65" s="67"/>
      <c r="C65" s="67"/>
      <c r="D65" s="67"/>
      <c r="E65" s="67"/>
      <c r="F65" s="67" t="s">
        <v>229</v>
      </c>
      <c r="G65" s="49">
        <v>0</v>
      </c>
      <c r="H65" s="49">
        <v>0</v>
      </c>
      <c r="I65" s="49">
        <v>0</v>
      </c>
      <c r="J65" s="49">
        <f>J63-J64</f>
        <v>30000000</v>
      </c>
      <c r="K65" s="67"/>
      <c r="L65" s="74"/>
      <c r="M65" s="74"/>
    </row>
    <row r="66" spans="2:13">
      <c r="B66" s="67"/>
      <c r="C66" s="67"/>
      <c r="D66" s="67"/>
      <c r="E66" s="118" t="s">
        <v>230</v>
      </c>
      <c r="F66" s="119" t="s">
        <v>231</v>
      </c>
      <c r="G66" s="91"/>
      <c r="H66" s="91"/>
      <c r="I66" s="94" t="s">
        <v>264</v>
      </c>
      <c r="J66" s="91" t="str">
        <f>_xlfn.IFS((J65/J61)&lt;75%,"Tier 0",AND((J65/J61)&gt;=75%,(J65/J61)&lt;85%),"Tier 1",AND((J65/J61)&gt;=85%,(J65/J61)&lt;90%),"Tier 2",AND((J65/J61)&gt;=90%,(J65/J61)&lt;100%),"Tier 3",AND((J65/J61)&gt;=100%,(J65/J61)&lt;110%),"Tier 4",(J65/J61)&gt;=110%,"Tier 5")</f>
        <v>Tier 1</v>
      </c>
      <c r="K66" s="83" t="s">
        <v>233</v>
      </c>
      <c r="L66" s="85"/>
      <c r="M66" s="85"/>
    </row>
    <row r="67" spans="2:13">
      <c r="B67" s="67"/>
      <c r="C67" s="67"/>
      <c r="D67" s="67"/>
      <c r="E67" s="67" t="s">
        <v>236</v>
      </c>
      <c r="F67" s="67" t="s">
        <v>237</v>
      </c>
      <c r="G67" s="78"/>
      <c r="H67" s="78"/>
      <c r="I67" s="97"/>
      <c r="J67" s="78"/>
      <c r="K67" s="80"/>
      <c r="L67" s="74"/>
      <c r="M67" s="74"/>
    </row>
    <row r="68" spans="2:13">
      <c r="B68" s="67"/>
      <c r="C68" s="67"/>
      <c r="D68" s="67"/>
      <c r="E68" s="118" t="s">
        <v>238</v>
      </c>
      <c r="F68" s="120" t="s">
        <v>239</v>
      </c>
      <c r="G68" s="86"/>
      <c r="H68" s="86"/>
      <c r="I68" s="95"/>
      <c r="J68" s="86">
        <v>0</v>
      </c>
      <c r="K68" s="83"/>
      <c r="L68" s="85"/>
      <c r="M68" s="85"/>
    </row>
    <row r="69" spans="2:13">
      <c r="B69" s="67"/>
      <c r="C69" s="67"/>
      <c r="D69" s="67"/>
      <c r="E69" s="118"/>
      <c r="F69" s="120" t="s">
        <v>240</v>
      </c>
      <c r="G69" s="87"/>
      <c r="H69" s="87"/>
      <c r="I69" s="87"/>
      <c r="J69" s="87">
        <v>20000000</v>
      </c>
      <c r="K69" s="83" t="s">
        <v>233</v>
      </c>
      <c r="L69" s="85"/>
      <c r="M69" s="85"/>
    </row>
    <row r="70" spans="2:13">
      <c r="B70" s="67"/>
      <c r="C70" s="67"/>
      <c r="D70" s="67"/>
      <c r="E70" s="118"/>
      <c r="F70" s="118" t="s">
        <v>241</v>
      </c>
      <c r="G70" s="92"/>
      <c r="H70" s="92"/>
      <c r="I70" s="92"/>
      <c r="J70" s="93">
        <v>0</v>
      </c>
      <c r="K70" s="118"/>
      <c r="L70" s="85"/>
      <c r="M70" s="85"/>
    </row>
    <row r="71" spans="2:13">
      <c r="B71" s="67"/>
      <c r="C71" s="67"/>
      <c r="D71" s="67"/>
      <c r="E71" s="118"/>
      <c r="F71" s="118" t="s">
        <v>242</v>
      </c>
      <c r="G71" s="87"/>
      <c r="H71" s="87"/>
      <c r="I71" s="96" t="s">
        <v>264</v>
      </c>
      <c r="J71" s="87">
        <f>_xlfn.IFS(J66="Tier 0",J69*'Sequential Rule'!$H$5,'Business Use Case'!J66="Tier 1",'Business Use Case'!J69*'Sequential Rule'!$H$6,'Business Use Case'!J66="Tier 2",'Business Use Case'!J69*'Sequential Rule'!$H$7,'Business Use Case'!J66="Tier 3",'Business Use Case'!J69*'Sequential Rule'!$H$8,'Business Use Case'!J66="Tier 4",'Business Use Case'!J69*'Sequential Rule'!$H$9,'Business Use Case'!J66="Tier 5",'Business Use Case'!J69*'Sequential Rule'!$H$10)</f>
        <v>60000</v>
      </c>
      <c r="K71" s="83" t="s">
        <v>233</v>
      </c>
      <c r="L71" s="85"/>
      <c r="M71" s="85"/>
    </row>
    <row r="72" spans="2:13">
      <c r="B72" s="67"/>
      <c r="C72" s="67"/>
      <c r="D72" s="67"/>
      <c r="E72" s="118"/>
      <c r="F72" s="121" t="s">
        <v>243</v>
      </c>
      <c r="G72" s="88"/>
      <c r="H72" s="88"/>
      <c r="I72" s="98"/>
      <c r="J72" s="88">
        <f>SUM(J70:J71)</f>
        <v>60000</v>
      </c>
      <c r="K72" s="83"/>
      <c r="L72" s="85"/>
      <c r="M72" s="85"/>
    </row>
    <row r="73" spans="2:13">
      <c r="B73" s="67"/>
      <c r="C73" s="67"/>
      <c r="D73" s="67"/>
      <c r="E73" s="67"/>
      <c r="F73" s="71" t="s">
        <v>244</v>
      </c>
      <c r="G73" s="55"/>
      <c r="H73" s="55"/>
      <c r="I73" s="60" t="s">
        <v>264</v>
      </c>
      <c r="J73" s="55">
        <f>IF(AND(J62&gt;0,J65&gt;J61),J65-J69,0)</f>
        <v>0</v>
      </c>
      <c r="K73" s="68" t="s">
        <v>233</v>
      </c>
      <c r="L73" s="75"/>
      <c r="M73" s="75"/>
    </row>
    <row r="74" spans="2:13" ht="15" thickBot="1">
      <c r="B74" s="70"/>
      <c r="C74" s="70"/>
      <c r="D74" s="70"/>
      <c r="E74" s="70"/>
      <c r="F74" s="72" t="s">
        <v>245</v>
      </c>
      <c r="G74" s="58"/>
      <c r="H74" s="58"/>
      <c r="I74" s="61" t="s">
        <v>264</v>
      </c>
      <c r="J74" s="58">
        <f t="shared" ref="J74" si="8">1%*J73</f>
        <v>0</v>
      </c>
      <c r="K74" s="69" t="s">
        <v>233</v>
      </c>
      <c r="L74" s="76"/>
      <c r="M74" s="76"/>
    </row>
  </sheetData>
  <hyperlinks>
    <hyperlink ref="L10" location="'UAT Test Cases'!B2" display="TC01" xr:uid="{7948D367-D714-4945-9C13-BEB2E759F329}"/>
    <hyperlink ref="L52" location="'UAT Test Cases'!B4" display="TC03" xr:uid="{4C178049-357D-488F-8C43-6EB732922841}"/>
    <hyperlink ref="L38" location="'UAT Test Cases'!B5" display="TC04" xr:uid="{DED0198D-C0AB-4FBF-BDCF-50382580E66C}"/>
    <hyperlink ref="L43" location="'UAT Test Cases'!B6" display="TC05" xr:uid="{77DAE1EE-A0E8-4F66-930B-2D0A4C5511B8}"/>
    <hyperlink ref="L57" location="'UAT Test Cases'!B7" display="TC06" xr:uid="{DDB93E70-3884-41BB-BD9C-75BF424416FD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showGridLines="0" workbookViewId="0">
      <pane ySplit="1" topLeftCell="A15" activePane="bottomLeft" state="frozen"/>
      <selection pane="bottomLeft" activeCell="C24" sqref="C24"/>
    </sheetView>
  </sheetViews>
  <sheetFormatPr defaultRowHeight="14.45"/>
  <cols>
    <col min="1" max="1" width="34.140625" customWidth="1"/>
    <col min="2" max="2" width="8" style="5" customWidth="1"/>
    <col min="3" max="3" width="26" customWidth="1"/>
    <col min="4" max="4" width="46.140625" customWidth="1"/>
    <col min="5" max="5" width="67.5703125" customWidth="1"/>
    <col min="6" max="6" width="17.42578125" customWidth="1"/>
    <col min="7" max="7" width="12" customWidth="1"/>
    <col min="8" max="8" width="13.85546875" customWidth="1"/>
  </cols>
  <sheetData>
    <row r="1" spans="1:8" s="100" customFormat="1" ht="30" customHeight="1">
      <c r="A1" s="101" t="s">
        <v>265</v>
      </c>
      <c r="B1" s="101" t="s">
        <v>266</v>
      </c>
      <c r="C1" s="102" t="s">
        <v>267</v>
      </c>
      <c r="D1" s="102" t="s">
        <v>268</v>
      </c>
      <c r="E1" s="102" t="s">
        <v>6</v>
      </c>
      <c r="F1" s="101" t="s">
        <v>269</v>
      </c>
      <c r="G1" s="101" t="s">
        <v>270</v>
      </c>
      <c r="H1" s="101" t="s">
        <v>271</v>
      </c>
    </row>
    <row r="2" spans="1:8" ht="29.1">
      <c r="A2" s="103" t="s">
        <v>113</v>
      </c>
      <c r="B2" s="104" t="s">
        <v>234</v>
      </c>
      <c r="C2" s="103" t="s">
        <v>272</v>
      </c>
      <c r="D2" s="103" t="s">
        <v>273</v>
      </c>
      <c r="E2" s="103" t="str">
        <f>'Business Use Case'!G10</f>
        <v>Tier 0</v>
      </c>
      <c r="F2" s="105">
        <f>'Business Use Case'!G15</f>
        <v>0</v>
      </c>
      <c r="G2" s="106" t="s">
        <v>274</v>
      </c>
      <c r="H2" s="106" t="s">
        <v>275</v>
      </c>
    </row>
    <row r="3" spans="1:8" ht="29.1">
      <c r="A3" s="103" t="s">
        <v>113</v>
      </c>
      <c r="B3" s="104" t="s">
        <v>248</v>
      </c>
      <c r="C3" s="103" t="s">
        <v>276</v>
      </c>
      <c r="D3" s="103" t="s">
        <v>277</v>
      </c>
      <c r="E3" s="103" t="str">
        <f>'Business Use Case'!G24</f>
        <v>Tier 2</v>
      </c>
      <c r="F3" s="105">
        <f>'Business Use Case'!G29</f>
        <v>360000</v>
      </c>
      <c r="G3" s="106" t="s">
        <v>274</v>
      </c>
      <c r="H3" s="106" t="s">
        <v>275</v>
      </c>
    </row>
    <row r="4" spans="1:8" ht="29.1">
      <c r="A4" s="103" t="s">
        <v>113</v>
      </c>
      <c r="B4" s="104" t="s">
        <v>257</v>
      </c>
      <c r="C4" s="103" t="s">
        <v>278</v>
      </c>
      <c r="D4" s="103" t="s">
        <v>279</v>
      </c>
      <c r="E4" s="103" t="str">
        <f>'Business Use Case'!I52</f>
        <v>Tier 5</v>
      </c>
      <c r="F4" s="105">
        <f>'Business Use Case'!I57</f>
        <v>826875</v>
      </c>
      <c r="G4" s="106" t="s">
        <v>274</v>
      </c>
      <c r="H4" s="106" t="s">
        <v>275</v>
      </c>
    </row>
    <row r="5" spans="1:8" ht="29.1">
      <c r="A5" s="103" t="s">
        <v>113</v>
      </c>
      <c r="B5" s="104" t="s">
        <v>251</v>
      </c>
      <c r="C5" s="103" t="s">
        <v>280</v>
      </c>
      <c r="D5" s="103" t="s">
        <v>281</v>
      </c>
      <c r="E5" s="103" t="str">
        <f>'Business Use Case'!H38</f>
        <v>Tier 3</v>
      </c>
      <c r="F5" s="105">
        <f>'Business Use Case'!H43</f>
        <v>472500</v>
      </c>
      <c r="G5" s="106" t="s">
        <v>274</v>
      </c>
      <c r="H5" s="106" t="s">
        <v>275</v>
      </c>
    </row>
    <row r="6" spans="1:8" ht="29.1">
      <c r="A6" s="103" t="s">
        <v>113</v>
      </c>
      <c r="B6" s="104" t="s">
        <v>253</v>
      </c>
      <c r="C6" s="103" t="s">
        <v>282</v>
      </c>
      <c r="D6" s="103" t="s">
        <v>283</v>
      </c>
      <c r="E6" s="103" t="str">
        <f>'Business Use Case'!G38</f>
        <v>Tier 4</v>
      </c>
      <c r="F6" s="105">
        <f>'Business Use Case'!G43</f>
        <v>450000</v>
      </c>
      <c r="G6" s="106" t="s">
        <v>274</v>
      </c>
      <c r="H6" s="106" t="s">
        <v>275</v>
      </c>
    </row>
    <row r="7" spans="1:8" ht="29.1">
      <c r="A7" s="103" t="s">
        <v>113</v>
      </c>
      <c r="B7" s="104" t="s">
        <v>259</v>
      </c>
      <c r="C7" s="103" t="s">
        <v>284</v>
      </c>
      <c r="D7" s="103" t="s">
        <v>285</v>
      </c>
      <c r="E7" s="103" t="str">
        <f>'Business Use Case'!H52</f>
        <v>Tier 1</v>
      </c>
      <c r="F7" s="105">
        <f>'Business Use Case'!H57</f>
        <v>210000</v>
      </c>
      <c r="G7" s="106" t="s">
        <v>274</v>
      </c>
      <c r="H7" s="106" t="s">
        <v>275</v>
      </c>
    </row>
    <row r="8" spans="1:8" ht="29.1">
      <c r="A8" s="103" t="s">
        <v>113</v>
      </c>
      <c r="B8" s="106"/>
      <c r="C8" s="103" t="s">
        <v>286</v>
      </c>
      <c r="D8" s="103" t="s">
        <v>287</v>
      </c>
      <c r="E8" s="103" t="s">
        <v>288</v>
      </c>
      <c r="F8" s="103"/>
      <c r="G8" s="106" t="s">
        <v>274</v>
      </c>
      <c r="H8" s="106" t="s">
        <v>275</v>
      </c>
    </row>
    <row r="9" spans="1:8" ht="29.1">
      <c r="A9" s="103" t="s">
        <v>113</v>
      </c>
      <c r="B9" s="106"/>
      <c r="C9" s="103" t="s">
        <v>289</v>
      </c>
      <c r="D9" s="103" t="s">
        <v>290</v>
      </c>
      <c r="E9" s="103" t="s">
        <v>291</v>
      </c>
      <c r="F9" s="103"/>
      <c r="G9" s="106" t="s">
        <v>274</v>
      </c>
      <c r="H9" s="106" t="s">
        <v>275</v>
      </c>
    </row>
    <row r="10" spans="1:8" ht="43.5">
      <c r="A10" s="103" t="s">
        <v>113</v>
      </c>
      <c r="B10" s="106"/>
      <c r="C10" s="103" t="s">
        <v>289</v>
      </c>
      <c r="D10" s="103" t="s">
        <v>292</v>
      </c>
      <c r="E10" s="103" t="s">
        <v>293</v>
      </c>
      <c r="F10" s="103"/>
      <c r="G10" s="106" t="s">
        <v>274</v>
      </c>
      <c r="H10" s="106" t="s">
        <v>275</v>
      </c>
    </row>
    <row r="11" spans="1:8" ht="43.5">
      <c r="A11" s="103" t="s">
        <v>113</v>
      </c>
      <c r="B11" s="106"/>
      <c r="C11" s="103" t="s">
        <v>294</v>
      </c>
      <c r="D11" s="103" t="s">
        <v>295</v>
      </c>
      <c r="E11" s="107" t="s">
        <v>296</v>
      </c>
      <c r="F11" s="103"/>
      <c r="G11" s="106" t="s">
        <v>274</v>
      </c>
      <c r="H11" s="106" t="s">
        <v>275</v>
      </c>
    </row>
    <row r="12" spans="1:8" ht="57.95">
      <c r="A12" s="103" t="s">
        <v>113</v>
      </c>
      <c r="B12" s="106"/>
      <c r="C12" s="103" t="s">
        <v>294</v>
      </c>
      <c r="D12" s="103" t="s">
        <v>297</v>
      </c>
      <c r="E12" s="107" t="s">
        <v>296</v>
      </c>
      <c r="F12" s="103"/>
      <c r="G12" s="106" t="s">
        <v>274</v>
      </c>
      <c r="H12" s="106" t="s">
        <v>275</v>
      </c>
    </row>
    <row r="13" spans="1:8" ht="57.95">
      <c r="A13" s="103" t="s">
        <v>113</v>
      </c>
      <c r="B13" s="106"/>
      <c r="C13" s="103" t="s">
        <v>294</v>
      </c>
      <c r="D13" s="103" t="s">
        <v>298</v>
      </c>
      <c r="E13" s="107" t="s">
        <v>296</v>
      </c>
      <c r="F13" s="103"/>
      <c r="G13" s="106" t="s">
        <v>274</v>
      </c>
      <c r="H13" s="106" t="s">
        <v>275</v>
      </c>
    </row>
    <row r="14" spans="1:8" ht="33" customHeight="1">
      <c r="A14" s="103" t="s">
        <v>299</v>
      </c>
      <c r="B14" s="106"/>
      <c r="C14" s="103" t="s">
        <v>299</v>
      </c>
      <c r="D14" s="103" t="s">
        <v>300</v>
      </c>
      <c r="E14" s="103" t="s">
        <v>301</v>
      </c>
      <c r="F14" s="103"/>
      <c r="G14" s="106" t="s">
        <v>274</v>
      </c>
      <c r="H14" s="106" t="s">
        <v>275</v>
      </c>
    </row>
    <row r="15" spans="1:8" ht="29.1">
      <c r="A15" s="103" t="s">
        <v>302</v>
      </c>
      <c r="B15" s="106"/>
      <c r="C15" s="103" t="s">
        <v>303</v>
      </c>
      <c r="D15" s="103" t="s">
        <v>304</v>
      </c>
      <c r="E15" s="103" t="s">
        <v>305</v>
      </c>
      <c r="F15" s="105">
        <f>'Business Use Case'!J44+'Business Use Case'!J46</f>
        <v>800000</v>
      </c>
      <c r="G15" s="106" t="s">
        <v>274</v>
      </c>
      <c r="H15" s="106" t="s">
        <v>275</v>
      </c>
    </row>
    <row r="16" spans="1:8" ht="29.1">
      <c r="A16" s="103" t="s">
        <v>302</v>
      </c>
      <c r="B16" s="106"/>
      <c r="C16" s="103" t="s">
        <v>306</v>
      </c>
      <c r="D16" s="103" t="s">
        <v>307</v>
      </c>
      <c r="E16" s="103" t="s">
        <v>305</v>
      </c>
      <c r="F16" s="108">
        <f>'Business Use Case'!J30+'Business Use Case'!J32</f>
        <v>438750</v>
      </c>
      <c r="G16" s="106" t="s">
        <v>274</v>
      </c>
      <c r="H16" s="106" t="s">
        <v>275</v>
      </c>
    </row>
    <row r="17" spans="1:8" ht="43.5">
      <c r="A17" s="103" t="s">
        <v>308</v>
      </c>
      <c r="B17" s="106"/>
      <c r="C17" s="103" t="s">
        <v>308</v>
      </c>
      <c r="D17" s="103" t="s">
        <v>309</v>
      </c>
      <c r="E17" s="103" t="s">
        <v>310</v>
      </c>
      <c r="F17" s="105">
        <f>'Business Use Case'!J72</f>
        <v>60000</v>
      </c>
      <c r="G17" s="106" t="s">
        <v>274</v>
      </c>
      <c r="H17" s="106" t="s">
        <v>275</v>
      </c>
    </row>
    <row r="18" spans="1:8" s="28" customFormat="1" ht="29.1">
      <c r="A18" s="109" t="s">
        <v>302</v>
      </c>
      <c r="B18" s="110"/>
      <c r="C18" s="109" t="s">
        <v>303</v>
      </c>
      <c r="D18" s="109" t="s">
        <v>311</v>
      </c>
      <c r="E18" s="103" t="s">
        <v>305</v>
      </c>
      <c r="F18" s="111">
        <f>'Business Use Case'!I30+'Business Use Case'!I32</f>
        <v>1230000</v>
      </c>
      <c r="G18" s="106" t="s">
        <v>274</v>
      </c>
      <c r="H18" s="106" t="s">
        <v>275</v>
      </c>
    </row>
    <row r="19" spans="1:8">
      <c r="A19" s="112"/>
      <c r="B19" s="113"/>
      <c r="C19" s="112"/>
      <c r="D19" s="112"/>
      <c r="E19" s="112"/>
      <c r="F19" s="112"/>
      <c r="G19" s="106" t="s">
        <v>274</v>
      </c>
      <c r="H19" s="106" t="s">
        <v>275</v>
      </c>
    </row>
    <row r="20" spans="1:8">
      <c r="A20" s="103" t="s">
        <v>312</v>
      </c>
      <c r="B20" s="106"/>
      <c r="C20" s="103" t="s">
        <v>312</v>
      </c>
      <c r="D20" s="103" t="s">
        <v>313</v>
      </c>
      <c r="E20" s="103" t="s">
        <v>314</v>
      </c>
      <c r="F20" s="103"/>
      <c r="G20" s="106" t="s">
        <v>274</v>
      </c>
      <c r="H20" s="106" t="s">
        <v>275</v>
      </c>
    </row>
    <row r="21" spans="1:8">
      <c r="A21" s="103" t="s">
        <v>138</v>
      </c>
      <c r="B21" s="106"/>
      <c r="C21" s="103" t="s">
        <v>138</v>
      </c>
      <c r="D21" s="103" t="s">
        <v>315</v>
      </c>
      <c r="E21" s="103" t="s">
        <v>316</v>
      </c>
      <c r="F21" s="103"/>
      <c r="G21" s="106" t="s">
        <v>274</v>
      </c>
      <c r="H21" s="106" t="s">
        <v>275</v>
      </c>
    </row>
  </sheetData>
  <autoFilter ref="B1:G21" xr:uid="{00000000-0009-0000-0000-000005000000}"/>
  <dataValidations count="2">
    <dataValidation type="list" allowBlank="1" showInputMessage="1" showErrorMessage="1" sqref="G2:G21" xr:uid="{87C6B711-8668-4337-AC04-162F2C87BCB3}">
      <formula1>"""Not Run"",""Run"""</formula1>
    </dataValidation>
    <dataValidation type="list" allowBlank="1" showInputMessage="1" showErrorMessage="1" sqref="H2:H21" xr:uid="{F24EA77B-75F3-4230-A080-875E2482EDAD}">
      <formula1>"""Success"",""Failed"",""In Progress"",""Not Started"""</formula1>
    </dataValidation>
  </dataValidations>
  <hyperlinks>
    <hyperlink ref="B2" location="'Business Use Case'!G10" display="TC01" xr:uid="{CA86835C-FBC0-45CF-8516-B66389EA96DB}"/>
    <hyperlink ref="B3" location="'Business Use Case'!G24" display="TC02" xr:uid="{8032D104-78AD-4E7B-B012-2706EF62D729}"/>
    <hyperlink ref="B4" location="'Business Use Case'!I52" display="TC03" xr:uid="{632386E2-E7B3-4C0A-983D-4661BEED7923}"/>
    <hyperlink ref="B5" location="'Business Use Case'!H38" display="TC04" xr:uid="{7C1E2A2F-2D04-46E9-A78E-96D406FB0C82}"/>
    <hyperlink ref="B6" location="'Business Use Case'!G38" display="TC05" xr:uid="{EFDC704C-A9EA-42E2-BE14-8A211EFD84A9}"/>
    <hyperlink ref="B7" location="'Business Use Case'!H52" display="TC06" xr:uid="{ED038D08-0298-4FF9-BFE5-C9636C5846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B8D3-9A39-41FB-B28A-535336CAF65E}">
  <dimension ref="B1:AE58"/>
  <sheetViews>
    <sheetView showGridLines="0" topLeftCell="G20" zoomScale="114" zoomScaleNormal="145" workbookViewId="0">
      <selection activeCell="P34" sqref="P34"/>
    </sheetView>
  </sheetViews>
  <sheetFormatPr defaultRowHeight="14.45"/>
  <cols>
    <col min="1" max="1" width="2.5703125" customWidth="1"/>
    <col min="2" max="2" width="5.85546875" customWidth="1"/>
    <col min="3" max="3" width="20" customWidth="1"/>
    <col min="4" max="4" width="9.85546875" customWidth="1"/>
    <col min="5" max="5" width="10.5703125" customWidth="1"/>
    <col min="6" max="6" width="15" customWidth="1"/>
    <col min="7" max="7" width="20.140625" customWidth="1"/>
    <col min="8" max="8" width="5.5703125" customWidth="1"/>
    <col min="9" max="9" width="4.7109375" customWidth="1"/>
    <col min="10" max="10" width="12.85546875" customWidth="1"/>
    <col min="11" max="11" width="8.85546875" customWidth="1"/>
    <col min="12" max="12" width="13.42578125" bestFit="1" customWidth="1"/>
    <col min="14" max="14" width="11.140625" bestFit="1" customWidth="1"/>
    <col min="15" max="15" width="8.85546875" customWidth="1"/>
    <col min="16" max="16" width="13.42578125" bestFit="1" customWidth="1"/>
    <col min="19" max="19" width="2.42578125" customWidth="1"/>
    <col min="21" max="21" width="14.28515625" bestFit="1" customWidth="1"/>
    <col min="22" max="23" width="18.7109375" bestFit="1" customWidth="1"/>
    <col min="24" max="24" width="30.140625" bestFit="1" customWidth="1"/>
    <col min="25" max="25" width="18.28515625" customWidth="1"/>
    <col min="26" max="26" width="14.7109375" customWidth="1"/>
    <col min="27" max="27" width="16.42578125" customWidth="1"/>
    <col min="28" max="28" width="14.85546875" bestFit="1" customWidth="1"/>
    <col min="29" max="29" width="24.5703125" bestFit="1" customWidth="1"/>
    <col min="30" max="30" width="11.42578125" bestFit="1" customWidth="1"/>
    <col min="31" max="32" width="12.42578125" bestFit="1" customWidth="1"/>
    <col min="33" max="33" width="11.42578125" bestFit="1" customWidth="1"/>
    <col min="34" max="34" width="12.42578125" bestFit="1" customWidth="1"/>
  </cols>
  <sheetData>
    <row r="1" spans="2:28">
      <c r="B1" s="29" t="s">
        <v>317</v>
      </c>
      <c r="I1" s="29" t="s">
        <v>318</v>
      </c>
      <c r="U1" s="29" t="s">
        <v>319</v>
      </c>
    </row>
    <row r="2" spans="2:28" ht="15" thickBot="1">
      <c r="B2" s="29"/>
      <c r="I2" s="5">
        <v>1</v>
      </c>
      <c r="J2" t="s">
        <v>320</v>
      </c>
      <c r="T2" s="29"/>
      <c r="U2" s="125" t="s">
        <v>321</v>
      </c>
      <c r="V2" s="125" t="s">
        <v>322</v>
      </c>
      <c r="W2" s="125" t="s">
        <v>323</v>
      </c>
      <c r="X2" s="125" t="s">
        <v>324</v>
      </c>
      <c r="Y2" s="125" t="s">
        <v>325</v>
      </c>
    </row>
    <row r="3" spans="2:28" ht="29.1">
      <c r="B3" s="126" t="s">
        <v>18</v>
      </c>
      <c r="C3" s="127" t="s">
        <v>265</v>
      </c>
      <c r="D3" s="127" t="s">
        <v>163</v>
      </c>
      <c r="E3" s="127" t="s">
        <v>326</v>
      </c>
      <c r="F3" s="267" t="s">
        <v>327</v>
      </c>
      <c r="G3" s="268"/>
      <c r="J3" s="129" t="s">
        <v>328</v>
      </c>
      <c r="K3" s="129" t="s">
        <v>329</v>
      </c>
      <c r="L3" s="129" t="s">
        <v>330</v>
      </c>
      <c r="M3" s="129" t="s">
        <v>331</v>
      </c>
      <c r="N3" s="129" t="s">
        <v>332</v>
      </c>
      <c r="O3" s="130" t="s">
        <v>333</v>
      </c>
      <c r="U3" s="131" t="s">
        <v>334</v>
      </c>
      <c r="V3" s="132" t="s">
        <v>17</v>
      </c>
      <c r="W3" s="133" t="s">
        <v>335</v>
      </c>
      <c r="X3" s="133" t="s">
        <v>336</v>
      </c>
      <c r="Y3" s="133" t="s">
        <v>337</v>
      </c>
    </row>
    <row r="4" spans="2:28">
      <c r="B4" s="134">
        <v>1</v>
      </c>
      <c r="C4" s="112" t="s">
        <v>338</v>
      </c>
      <c r="D4" s="135" t="s">
        <v>339</v>
      </c>
      <c r="E4" s="112" t="s">
        <v>340</v>
      </c>
      <c r="F4" s="112" t="s">
        <v>341</v>
      </c>
      <c r="G4" s="136"/>
      <c r="J4" s="137" t="s">
        <v>222</v>
      </c>
      <c r="K4" s="138">
        <v>0.2</v>
      </c>
      <c r="L4" s="108">
        <v>100000</v>
      </c>
      <c r="M4" s="108">
        <f>K4*L4</f>
        <v>20000</v>
      </c>
      <c r="N4" s="139">
        <v>7.4999999999999997E-3</v>
      </c>
      <c r="O4" s="140">
        <f>M4*N4</f>
        <v>150</v>
      </c>
      <c r="U4" s="131" t="s">
        <v>342</v>
      </c>
      <c r="V4" s="132" t="s">
        <v>18</v>
      </c>
      <c r="W4" s="133" t="s">
        <v>335</v>
      </c>
      <c r="X4" s="133" t="s">
        <v>336</v>
      </c>
      <c r="Y4" s="133" t="s">
        <v>337</v>
      </c>
    </row>
    <row r="5" spans="2:28" ht="15" thickBot="1">
      <c r="B5" s="141">
        <v>2</v>
      </c>
      <c r="C5" s="142" t="s">
        <v>343</v>
      </c>
      <c r="D5" s="143" t="s">
        <v>344</v>
      </c>
      <c r="E5" s="142" t="s">
        <v>344</v>
      </c>
      <c r="F5" s="142" t="s">
        <v>345</v>
      </c>
      <c r="G5" s="144"/>
      <c r="J5" s="137" t="s">
        <v>246</v>
      </c>
      <c r="K5" s="138">
        <v>0.1</v>
      </c>
      <c r="L5" s="108">
        <v>500000</v>
      </c>
      <c r="M5" s="108">
        <f t="shared" ref="M5:M6" si="0">K5*L5</f>
        <v>50000</v>
      </c>
      <c r="N5" s="139">
        <v>7.4999999999999997E-3</v>
      </c>
      <c r="O5" s="140">
        <f>M5*N5</f>
        <v>375</v>
      </c>
      <c r="U5" s="112" t="s">
        <v>346</v>
      </c>
      <c r="V5" s="137" t="s">
        <v>18</v>
      </c>
      <c r="W5" s="112" t="s">
        <v>335</v>
      </c>
      <c r="X5" s="112" t="s">
        <v>336</v>
      </c>
      <c r="Y5" s="112" t="s">
        <v>347</v>
      </c>
    </row>
    <row r="6" spans="2:28">
      <c r="J6" s="145" t="s">
        <v>250</v>
      </c>
      <c r="K6" s="146">
        <v>0.4</v>
      </c>
      <c r="L6" s="147">
        <v>300000</v>
      </c>
      <c r="M6" s="147">
        <f t="shared" si="0"/>
        <v>120000</v>
      </c>
      <c r="N6" s="148">
        <v>7.4999999999999997E-3</v>
      </c>
      <c r="O6" s="149">
        <v>0</v>
      </c>
      <c r="P6" t="s">
        <v>348</v>
      </c>
      <c r="U6" s="112" t="s">
        <v>349</v>
      </c>
      <c r="V6" s="137" t="s">
        <v>18</v>
      </c>
      <c r="W6" s="112" t="s">
        <v>335</v>
      </c>
      <c r="X6" s="112" t="s">
        <v>336</v>
      </c>
      <c r="Y6" s="112" t="s">
        <v>347</v>
      </c>
    </row>
    <row r="7" spans="2:28">
      <c r="B7" s="29" t="s">
        <v>350</v>
      </c>
      <c r="J7" s="112"/>
      <c r="K7" s="112"/>
      <c r="L7" s="112"/>
      <c r="M7" s="150">
        <f>SUM(M4:M6)</f>
        <v>190000</v>
      </c>
      <c r="N7" s="45"/>
      <c r="U7" s="112" t="s">
        <v>342</v>
      </c>
      <c r="V7" s="137" t="s">
        <v>17</v>
      </c>
      <c r="W7" s="112" t="s">
        <v>335</v>
      </c>
      <c r="X7" s="112" t="s">
        <v>351</v>
      </c>
      <c r="Y7" s="112" t="s">
        <v>352</v>
      </c>
    </row>
    <row r="8" spans="2:28" ht="15" thickBot="1">
      <c r="B8" s="29"/>
      <c r="U8" s="112" t="s">
        <v>346</v>
      </c>
      <c r="V8" s="137" t="s">
        <v>17</v>
      </c>
      <c r="W8" s="112" t="s">
        <v>335</v>
      </c>
      <c r="X8" s="112" t="s">
        <v>351</v>
      </c>
      <c r="Y8" s="112" t="s">
        <v>352</v>
      </c>
    </row>
    <row r="9" spans="2:28">
      <c r="B9" s="126" t="s">
        <v>18</v>
      </c>
      <c r="C9" s="127" t="s">
        <v>265</v>
      </c>
      <c r="D9" s="127" t="s">
        <v>163</v>
      </c>
      <c r="E9" s="128" t="s">
        <v>326</v>
      </c>
      <c r="I9" s="5">
        <v>2</v>
      </c>
      <c r="J9" t="s">
        <v>353</v>
      </c>
      <c r="U9" s="112" t="s">
        <v>349</v>
      </c>
      <c r="V9" s="137" t="s">
        <v>17</v>
      </c>
      <c r="W9" s="112" t="s">
        <v>335</v>
      </c>
      <c r="X9" s="112" t="s">
        <v>351</v>
      </c>
      <c r="Y9" s="112" t="s">
        <v>352</v>
      </c>
    </row>
    <row r="10" spans="2:28">
      <c r="B10" s="134">
        <v>1</v>
      </c>
      <c r="C10" s="112" t="s">
        <v>354</v>
      </c>
      <c r="D10" s="135">
        <v>7.4999999999999997E-3</v>
      </c>
      <c r="E10" s="136" t="s">
        <v>340</v>
      </c>
      <c r="J10" s="151" t="s">
        <v>355</v>
      </c>
    </row>
    <row r="11" spans="2:28">
      <c r="B11" s="134">
        <v>2</v>
      </c>
      <c r="C11" s="112" t="s">
        <v>356</v>
      </c>
      <c r="D11" s="135">
        <v>7.4999999999999997E-3</v>
      </c>
      <c r="E11" s="136" t="s">
        <v>340</v>
      </c>
      <c r="J11" s="151" t="s">
        <v>357</v>
      </c>
      <c r="U11" s="29" t="s">
        <v>358</v>
      </c>
    </row>
    <row r="12" spans="2:28" ht="15" thickBot="1">
      <c r="B12" s="152"/>
      <c r="C12" s="153" t="s">
        <v>359</v>
      </c>
      <c r="D12" s="154">
        <f>SUM(D10:D11)</f>
        <v>1.4999999999999999E-2</v>
      </c>
      <c r="E12" s="155"/>
    </row>
    <row r="13" spans="2:28">
      <c r="J13" s="269" t="s">
        <v>360</v>
      </c>
      <c r="K13" s="270"/>
      <c r="L13" s="271"/>
      <c r="N13" s="269" t="s">
        <v>361</v>
      </c>
      <c r="O13" s="270"/>
      <c r="P13" s="271"/>
      <c r="U13" s="31" t="s">
        <v>362</v>
      </c>
      <c r="V13" s="31" t="s">
        <v>363</v>
      </c>
      <c r="Y13" s="114" t="s">
        <v>362</v>
      </c>
      <c r="Z13" s="272" t="s">
        <v>364</v>
      </c>
      <c r="AA13" s="273"/>
      <c r="AB13" s="274"/>
    </row>
    <row r="14" spans="2:28">
      <c r="B14" s="29" t="s">
        <v>354</v>
      </c>
      <c r="J14" s="156" t="s">
        <v>365</v>
      </c>
      <c r="K14" s="157" t="s">
        <v>366</v>
      </c>
      <c r="L14" s="158" t="s">
        <v>367</v>
      </c>
      <c r="N14" s="156" t="s">
        <v>365</v>
      </c>
      <c r="O14" s="157" t="s">
        <v>366</v>
      </c>
      <c r="P14" s="158" t="s">
        <v>367</v>
      </c>
      <c r="U14" s="31" t="s">
        <v>364</v>
      </c>
      <c r="V14" s="31" t="s">
        <v>368</v>
      </c>
      <c r="X14" s="159" t="s">
        <v>369</v>
      </c>
      <c r="Y14" s="160">
        <f>X17</f>
        <v>62500000</v>
      </c>
      <c r="Z14" s="77">
        <f>V17</f>
        <v>50000000</v>
      </c>
      <c r="AA14" s="78">
        <f>W17</f>
        <v>12500000</v>
      </c>
      <c r="AB14" s="161">
        <f>SUM(Z14:AA14)</f>
        <v>62500000</v>
      </c>
    </row>
    <row r="15" spans="2:28" ht="15" thickBot="1">
      <c r="F15" s="162" t="s">
        <v>370</v>
      </c>
      <c r="J15" s="163" t="s">
        <v>371</v>
      </c>
      <c r="K15" s="137">
        <v>1.5</v>
      </c>
      <c r="L15" s="164" t="s">
        <v>372</v>
      </c>
      <c r="N15" s="163" t="s">
        <v>373</v>
      </c>
      <c r="O15" s="137">
        <v>1.5</v>
      </c>
      <c r="P15" s="164" t="s">
        <v>374</v>
      </c>
      <c r="X15" s="159" t="s">
        <v>163</v>
      </c>
      <c r="Y15" s="165">
        <f>F32</f>
        <v>7.8750000000000001E-3</v>
      </c>
      <c r="Z15" s="166">
        <f>F31</f>
        <v>7.4999999999999997E-3</v>
      </c>
      <c r="AA15" s="167">
        <v>0.01</v>
      </c>
      <c r="AB15" s="117"/>
    </row>
    <row r="16" spans="2:28" ht="15" thickBot="1">
      <c r="B16" s="168" t="s">
        <v>375</v>
      </c>
      <c r="C16" s="169" t="s">
        <v>376</v>
      </c>
      <c r="D16" s="127" t="s">
        <v>163</v>
      </c>
      <c r="E16" s="169" t="s">
        <v>164</v>
      </c>
      <c r="F16" s="169" t="s">
        <v>377</v>
      </c>
      <c r="G16" s="170" t="s">
        <v>327</v>
      </c>
      <c r="J16" s="163" t="s">
        <v>378</v>
      </c>
      <c r="K16" s="137">
        <v>1</v>
      </c>
      <c r="L16" s="164" t="s">
        <v>379</v>
      </c>
      <c r="N16" s="163" t="s">
        <v>380</v>
      </c>
      <c r="O16" s="137">
        <v>1</v>
      </c>
      <c r="P16" s="164" t="s">
        <v>381</v>
      </c>
      <c r="U16" s="171" t="s">
        <v>382</v>
      </c>
      <c r="V16" s="172" t="s">
        <v>383</v>
      </c>
      <c r="W16" s="172" t="s">
        <v>384</v>
      </c>
      <c r="X16" s="172" t="s">
        <v>385</v>
      </c>
      <c r="Y16" s="173" t="s">
        <v>386</v>
      </c>
      <c r="Z16" s="171" t="s">
        <v>387</v>
      </c>
      <c r="AA16" s="174" t="s">
        <v>388</v>
      </c>
      <c r="AB16" s="173" t="s">
        <v>331</v>
      </c>
    </row>
    <row r="17" spans="2:31" ht="15" thickBot="1">
      <c r="B17" s="134">
        <v>0</v>
      </c>
      <c r="C17" s="175" t="s">
        <v>389</v>
      </c>
      <c r="D17" s="176">
        <v>7.4999999999999997E-3</v>
      </c>
      <c r="E17" s="177">
        <v>0</v>
      </c>
      <c r="F17" s="178">
        <f>D17*E17</f>
        <v>0</v>
      </c>
      <c r="G17" s="136" t="s">
        <v>170</v>
      </c>
      <c r="J17" s="179" t="s">
        <v>390</v>
      </c>
      <c r="K17" s="180">
        <v>0.25</v>
      </c>
      <c r="L17" s="181" t="s">
        <v>391</v>
      </c>
      <c r="N17" s="179" t="s">
        <v>392</v>
      </c>
      <c r="O17" s="180">
        <v>0.25</v>
      </c>
      <c r="P17" s="181" t="s">
        <v>391</v>
      </c>
      <c r="U17" s="182" t="s">
        <v>222</v>
      </c>
      <c r="V17" s="183">
        <v>50000000</v>
      </c>
      <c r="W17" s="183">
        <f>($V$21/4)</f>
        <v>12500000</v>
      </c>
      <c r="X17" s="63">
        <f>SUM(V17:W17)</f>
        <v>62500000</v>
      </c>
      <c r="Y17" s="184">
        <f>$F$32*X17</f>
        <v>492187.5</v>
      </c>
      <c r="Z17" s="46">
        <f>V17*$F$31</f>
        <v>375000</v>
      </c>
      <c r="AA17" s="46">
        <f>$AA$15*W17</f>
        <v>125000</v>
      </c>
      <c r="AB17" s="47">
        <f>Z17+AA17</f>
        <v>500000</v>
      </c>
    </row>
    <row r="18" spans="2:31" ht="15" thickBot="1">
      <c r="B18" s="134">
        <v>1</v>
      </c>
      <c r="C18" s="175" t="s">
        <v>393</v>
      </c>
      <c r="D18" s="176">
        <v>7.4999999999999997E-3</v>
      </c>
      <c r="E18" s="177">
        <v>0.4</v>
      </c>
      <c r="F18" s="178">
        <f t="shared" ref="F18:F22" si="1">D18*E18</f>
        <v>3.0000000000000001E-3</v>
      </c>
      <c r="G18" s="136" t="s">
        <v>394</v>
      </c>
      <c r="U18" s="185" t="s">
        <v>246</v>
      </c>
      <c r="V18" s="186">
        <v>50000000</v>
      </c>
      <c r="W18" s="186">
        <f>($V$21/4)</f>
        <v>12500000</v>
      </c>
      <c r="X18" s="64">
        <f t="shared" ref="X18:X20" si="2">SUM(V18:W18)</f>
        <v>62500000</v>
      </c>
      <c r="Y18" s="187">
        <f>$F$32*X18</f>
        <v>492187.5</v>
      </c>
      <c r="Z18" s="49">
        <f>V18*$F$31</f>
        <v>375000</v>
      </c>
      <c r="AA18" s="49">
        <f>$AA$15*W18</f>
        <v>125000</v>
      </c>
      <c r="AB18" s="50">
        <f t="shared" ref="AB18:AB20" si="3">Z18+AA18</f>
        <v>500000</v>
      </c>
    </row>
    <row r="19" spans="2:31">
      <c r="B19" s="134">
        <v>2</v>
      </c>
      <c r="C19" s="175" t="s">
        <v>395</v>
      </c>
      <c r="D19" s="176">
        <v>7.4999999999999997E-3</v>
      </c>
      <c r="E19" s="177">
        <v>0.8</v>
      </c>
      <c r="F19" s="178">
        <f t="shared" si="1"/>
        <v>6.0000000000000001E-3</v>
      </c>
      <c r="G19" s="136" t="s">
        <v>394</v>
      </c>
      <c r="J19" s="269" t="s">
        <v>396</v>
      </c>
      <c r="K19" s="270"/>
      <c r="L19" s="271"/>
      <c r="N19" s="269" t="s">
        <v>397</v>
      </c>
      <c r="O19" s="270"/>
      <c r="P19" s="271"/>
      <c r="U19" s="185" t="s">
        <v>250</v>
      </c>
      <c r="V19" s="186">
        <v>50000000</v>
      </c>
      <c r="W19" s="186">
        <f>($V$21/4)</f>
        <v>12500000</v>
      </c>
      <c r="X19" s="64">
        <f t="shared" si="2"/>
        <v>62500000</v>
      </c>
      <c r="Y19" s="187">
        <f>$F$32*X19</f>
        <v>492187.5</v>
      </c>
      <c r="Z19" s="49">
        <f>V19*$F$31</f>
        <v>375000</v>
      </c>
      <c r="AA19" s="49">
        <f>$AA$15*W19</f>
        <v>125000</v>
      </c>
      <c r="AB19" s="50">
        <f t="shared" si="3"/>
        <v>500000</v>
      </c>
    </row>
    <row r="20" spans="2:31">
      <c r="B20" s="134">
        <v>3</v>
      </c>
      <c r="C20" s="175" t="s">
        <v>398</v>
      </c>
      <c r="D20" s="176">
        <v>7.4999999999999997E-3</v>
      </c>
      <c r="E20" s="177">
        <v>0.9</v>
      </c>
      <c r="F20" s="178">
        <f t="shared" si="1"/>
        <v>6.7499999999999999E-3</v>
      </c>
      <c r="G20" s="136" t="s">
        <v>394</v>
      </c>
      <c r="J20" s="156" t="s">
        <v>365</v>
      </c>
      <c r="K20" s="157" t="s">
        <v>366</v>
      </c>
      <c r="L20" s="158" t="s">
        <v>367</v>
      </c>
      <c r="N20" s="156" t="s">
        <v>365</v>
      </c>
      <c r="O20" s="157" t="s">
        <v>366</v>
      </c>
      <c r="P20" s="158" t="s">
        <v>367</v>
      </c>
      <c r="U20" s="185" t="s">
        <v>255</v>
      </c>
      <c r="V20" s="186">
        <v>50000000</v>
      </c>
      <c r="W20" s="186">
        <f>($V$21/4)</f>
        <v>12500000</v>
      </c>
      <c r="X20" s="64">
        <f t="shared" si="2"/>
        <v>62500000</v>
      </c>
      <c r="Y20" s="187">
        <f>$F$32*X20</f>
        <v>492187.5</v>
      </c>
      <c r="Z20" s="49">
        <f>V20*$F$31</f>
        <v>375000</v>
      </c>
      <c r="AA20" s="49">
        <f>$AA$15*W20</f>
        <v>125000</v>
      </c>
      <c r="AB20" s="50">
        <f t="shared" si="3"/>
        <v>500000</v>
      </c>
    </row>
    <row r="21" spans="2:31" ht="15" thickBot="1">
      <c r="B21" s="134">
        <v>4</v>
      </c>
      <c r="C21" s="175" t="s">
        <v>399</v>
      </c>
      <c r="D21" s="176">
        <v>7.4999999999999997E-3</v>
      </c>
      <c r="E21" s="177">
        <v>1</v>
      </c>
      <c r="F21" s="178">
        <f t="shared" si="1"/>
        <v>7.4999999999999997E-3</v>
      </c>
      <c r="G21" s="136" t="s">
        <v>394</v>
      </c>
      <c r="J21" s="163" t="s">
        <v>371</v>
      </c>
      <c r="K21" s="137">
        <v>1.5</v>
      </c>
      <c r="L21" s="164" t="s">
        <v>372</v>
      </c>
      <c r="N21" s="163" t="s">
        <v>373</v>
      </c>
      <c r="O21" s="137">
        <v>1.5</v>
      </c>
      <c r="P21" s="164" t="s">
        <v>374</v>
      </c>
      <c r="U21" s="188" t="s">
        <v>261</v>
      </c>
      <c r="V21" s="189">
        <v>50000000</v>
      </c>
      <c r="W21" s="190" t="s">
        <v>400</v>
      </c>
      <c r="X21" s="52"/>
      <c r="Y21" s="70"/>
      <c r="Z21" s="53"/>
      <c r="AA21" s="53"/>
      <c r="AB21" s="117"/>
    </row>
    <row r="22" spans="2:31" ht="15" thickBot="1">
      <c r="B22" s="141">
        <v>5</v>
      </c>
      <c r="C22" s="191" t="s">
        <v>401</v>
      </c>
      <c r="D22" s="192">
        <v>7.4999999999999997E-3</v>
      </c>
      <c r="E22" s="193">
        <v>1.05</v>
      </c>
      <c r="F22" s="194">
        <f t="shared" si="1"/>
        <v>7.8750000000000001E-3</v>
      </c>
      <c r="G22" s="144" t="s">
        <v>394</v>
      </c>
      <c r="J22" s="163" t="s">
        <v>378</v>
      </c>
      <c r="K22" s="137">
        <v>1</v>
      </c>
      <c r="L22" s="164" t="s">
        <v>379</v>
      </c>
      <c r="N22" s="163" t="s">
        <v>380</v>
      </c>
      <c r="O22" s="137">
        <v>1</v>
      </c>
      <c r="P22" s="164" t="s">
        <v>381</v>
      </c>
      <c r="AC22" s="45"/>
    </row>
    <row r="23" spans="2:31" ht="15" thickBot="1">
      <c r="J23" s="179" t="s">
        <v>390</v>
      </c>
      <c r="K23" s="180">
        <v>0</v>
      </c>
      <c r="L23" s="181" t="s">
        <v>391</v>
      </c>
      <c r="N23" s="179" t="s">
        <v>392</v>
      </c>
      <c r="O23" s="180">
        <v>0</v>
      </c>
      <c r="P23" s="181" t="s">
        <v>391</v>
      </c>
      <c r="U23" s="195" t="s">
        <v>402</v>
      </c>
    </row>
    <row r="24" spans="2:31">
      <c r="B24" s="29" t="s">
        <v>356</v>
      </c>
    </row>
    <row r="25" spans="2:31" ht="15" thickBot="1">
      <c r="F25" s="162" t="s">
        <v>370</v>
      </c>
      <c r="I25" s="5">
        <v>3</v>
      </c>
      <c r="J25" t="s">
        <v>403</v>
      </c>
      <c r="U25" s="29" t="s">
        <v>404</v>
      </c>
    </row>
    <row r="26" spans="2:31">
      <c r="B26" s="168" t="s">
        <v>375</v>
      </c>
      <c r="C26" s="169" t="s">
        <v>376</v>
      </c>
      <c r="D26" s="127" t="s">
        <v>163</v>
      </c>
      <c r="E26" s="169" t="s">
        <v>164</v>
      </c>
      <c r="F26" s="169" t="s">
        <v>377</v>
      </c>
      <c r="G26" s="170" t="s">
        <v>327</v>
      </c>
      <c r="I26" s="5">
        <v>4</v>
      </c>
      <c r="J26" t="s">
        <v>405</v>
      </c>
      <c r="U26" s="259" t="s">
        <v>382</v>
      </c>
      <c r="V26" s="196" t="s">
        <v>406</v>
      </c>
      <c r="W26" s="261" t="s">
        <v>407</v>
      </c>
      <c r="X26" s="262"/>
      <c r="Y26" s="263"/>
      <c r="Z26" s="264" t="s">
        <v>408</v>
      </c>
      <c r="AA26" s="265"/>
      <c r="AB26" s="266"/>
      <c r="AC26" s="264" t="s">
        <v>409</v>
      </c>
      <c r="AD26" s="265"/>
      <c r="AE26" s="266"/>
    </row>
    <row r="27" spans="2:31" ht="15" thickBot="1">
      <c r="B27" s="134">
        <v>0</v>
      </c>
      <c r="C27" s="175" t="s">
        <v>389</v>
      </c>
      <c r="D27" s="176">
        <v>7.4999999999999997E-3</v>
      </c>
      <c r="E27" s="177">
        <v>0</v>
      </c>
      <c r="F27" s="178">
        <f>D27*E27</f>
        <v>0</v>
      </c>
      <c r="G27" s="136" t="s">
        <v>170</v>
      </c>
      <c r="I27" s="5">
        <v>5</v>
      </c>
      <c r="J27" t="s">
        <v>410</v>
      </c>
      <c r="U27" s="260"/>
      <c r="V27" s="197" t="s">
        <v>411</v>
      </c>
      <c r="W27" s="198" t="s">
        <v>411</v>
      </c>
      <c r="X27" s="199" t="s">
        <v>388</v>
      </c>
      <c r="Y27" s="200" t="s">
        <v>331</v>
      </c>
      <c r="Z27" s="201" t="s">
        <v>411</v>
      </c>
      <c r="AA27" s="202" t="s">
        <v>388</v>
      </c>
      <c r="AB27" s="203" t="s">
        <v>331</v>
      </c>
      <c r="AC27" s="201" t="s">
        <v>411</v>
      </c>
      <c r="AD27" s="202" t="s">
        <v>388</v>
      </c>
      <c r="AE27" s="203" t="s">
        <v>331</v>
      </c>
    </row>
    <row r="28" spans="2:31" ht="15" thickBot="1">
      <c r="B28" s="134">
        <v>1</v>
      </c>
      <c r="C28" s="175" t="s">
        <v>393</v>
      </c>
      <c r="D28" s="176">
        <v>7.4999999999999997E-3</v>
      </c>
      <c r="E28" s="177">
        <v>0.4</v>
      </c>
      <c r="F28" s="178">
        <f t="shared" ref="F28:F32" si="4">D28*E28</f>
        <v>3.0000000000000001E-3</v>
      </c>
      <c r="G28" s="136" t="s">
        <v>394</v>
      </c>
      <c r="J28" s="204" t="s">
        <v>412</v>
      </c>
      <c r="K28" s="205"/>
      <c r="L28" s="205" t="s">
        <v>163</v>
      </c>
      <c r="U28" s="206" t="s">
        <v>222</v>
      </c>
      <c r="V28" s="207">
        <v>50000000</v>
      </c>
      <c r="W28" s="208">
        <v>50000000</v>
      </c>
      <c r="X28" s="209">
        <f>$V$32/4</f>
        <v>12500000</v>
      </c>
      <c r="Y28" s="210">
        <f>SUM(W28:X28)</f>
        <v>62500000</v>
      </c>
      <c r="Z28" s="211">
        <v>50000000</v>
      </c>
      <c r="AA28" s="212">
        <v>0</v>
      </c>
      <c r="AB28" s="213">
        <f>SUM(Z28:AA28)</f>
        <v>50000000</v>
      </c>
      <c r="AC28" s="214">
        <v>50000000</v>
      </c>
      <c r="AD28" s="212">
        <f>($V$32-$AC$33)/4</f>
        <v>6250000</v>
      </c>
      <c r="AE28" s="213">
        <f>SUM(AC28:AD28)</f>
        <v>56250000</v>
      </c>
    </row>
    <row r="29" spans="2:31">
      <c r="B29" s="134">
        <v>2</v>
      </c>
      <c r="C29" s="175" t="s">
        <v>395</v>
      </c>
      <c r="D29" s="176">
        <v>7.4999999999999997E-3</v>
      </c>
      <c r="E29" s="177">
        <v>0.8</v>
      </c>
      <c r="F29" s="178">
        <f t="shared" si="4"/>
        <v>6.0000000000000001E-3</v>
      </c>
      <c r="G29" s="136" t="s">
        <v>394</v>
      </c>
      <c r="J29" s="48" t="s">
        <v>413</v>
      </c>
      <c r="K29" s="116"/>
      <c r="L29" s="215">
        <v>7.4999999999999997E-3</v>
      </c>
      <c r="M29" s="31" t="s">
        <v>414</v>
      </c>
      <c r="U29" s="216" t="s">
        <v>246</v>
      </c>
      <c r="V29" s="217">
        <v>50000000</v>
      </c>
      <c r="W29" s="218">
        <v>50000000</v>
      </c>
      <c r="X29" s="150">
        <f>$V$32/4</f>
        <v>12500000</v>
      </c>
      <c r="Y29" s="219">
        <f t="shared" ref="Y29:Y31" si="5">SUM(W29:X29)</f>
        <v>62500000</v>
      </c>
      <c r="Z29" s="218">
        <v>50000000</v>
      </c>
      <c r="AA29" s="150">
        <v>0</v>
      </c>
      <c r="AB29" s="220">
        <f t="shared" ref="AB29:AB33" si="6">SUM(Z29:AA29)</f>
        <v>50000000</v>
      </c>
      <c r="AC29" s="221">
        <v>50000000</v>
      </c>
      <c r="AD29" s="150">
        <f>($V$32-$AC$33)/4</f>
        <v>6250000</v>
      </c>
      <c r="AE29" s="220">
        <f t="shared" ref="AE29:AE33" si="7">SUM(AC29:AD29)</f>
        <v>56250000</v>
      </c>
    </row>
    <row r="30" spans="2:31" ht="15" thickBot="1">
      <c r="B30" s="134">
        <v>3</v>
      </c>
      <c r="C30" s="175" t="s">
        <v>398</v>
      </c>
      <c r="D30" s="176">
        <v>7.4999999999999997E-3</v>
      </c>
      <c r="E30" s="177">
        <v>0.9</v>
      </c>
      <c r="F30" s="178">
        <f t="shared" si="4"/>
        <v>6.7499999999999999E-3</v>
      </c>
      <c r="G30" s="136" t="s">
        <v>394</v>
      </c>
      <c r="J30" s="48" t="s">
        <v>415</v>
      </c>
      <c r="K30" s="116"/>
      <c r="L30" s="222">
        <v>0.01</v>
      </c>
      <c r="U30" s="216" t="s">
        <v>250</v>
      </c>
      <c r="V30" s="217">
        <v>50000000</v>
      </c>
      <c r="W30" s="218">
        <v>50000000</v>
      </c>
      <c r="X30" s="150">
        <f>$V$32/4</f>
        <v>12500000</v>
      </c>
      <c r="Y30" s="219">
        <f t="shared" si="5"/>
        <v>62500000</v>
      </c>
      <c r="Z30" s="218">
        <v>50000000</v>
      </c>
      <c r="AA30" s="150">
        <v>0</v>
      </c>
      <c r="AB30" s="220">
        <f t="shared" si="6"/>
        <v>50000000</v>
      </c>
      <c r="AC30" s="221">
        <v>50000000</v>
      </c>
      <c r="AD30" s="150">
        <f>($V$32-$AC$33)/4</f>
        <v>6250000</v>
      </c>
      <c r="AE30" s="220">
        <f t="shared" si="7"/>
        <v>56250000</v>
      </c>
    </row>
    <row r="31" spans="2:31" ht="15" thickBot="1">
      <c r="B31" s="134">
        <v>4</v>
      </c>
      <c r="C31" s="175" t="s">
        <v>399</v>
      </c>
      <c r="D31" s="176">
        <v>7.4999999999999997E-3</v>
      </c>
      <c r="E31" s="177">
        <v>1</v>
      </c>
      <c r="F31" s="178">
        <f t="shared" si="4"/>
        <v>7.4999999999999997E-3</v>
      </c>
      <c r="G31" s="136" t="s">
        <v>394</v>
      </c>
      <c r="J31" s="204" t="s">
        <v>416</v>
      </c>
      <c r="K31" s="205"/>
      <c r="L31" s="223">
        <f>L30+L29</f>
        <v>1.7500000000000002E-2</v>
      </c>
      <c r="M31" s="224" t="s">
        <v>417</v>
      </c>
      <c r="U31" s="216" t="s">
        <v>255</v>
      </c>
      <c r="V31" s="217">
        <v>50000000</v>
      </c>
      <c r="W31" s="218">
        <v>50000000</v>
      </c>
      <c r="X31" s="150">
        <f>$V$32/4</f>
        <v>12500000</v>
      </c>
      <c r="Y31" s="219">
        <f t="shared" si="5"/>
        <v>62500000</v>
      </c>
      <c r="Z31" s="218">
        <v>50000000</v>
      </c>
      <c r="AA31" s="150">
        <v>0</v>
      </c>
      <c r="AB31" s="220">
        <f t="shared" si="6"/>
        <v>50000000</v>
      </c>
      <c r="AC31" s="221">
        <v>50000000</v>
      </c>
      <c r="AD31" s="150">
        <f>($V$32-$AC$33)/4</f>
        <v>6250000</v>
      </c>
      <c r="AE31" s="220">
        <f t="shared" si="7"/>
        <v>56250000</v>
      </c>
    </row>
    <row r="32" spans="2:31" ht="15" thickBot="1">
      <c r="B32" s="141">
        <v>5</v>
      </c>
      <c r="C32" s="191" t="s">
        <v>401</v>
      </c>
      <c r="D32" s="192">
        <v>7.4999999999999997E-3</v>
      </c>
      <c r="E32" s="193">
        <v>1.05</v>
      </c>
      <c r="F32" s="194">
        <f t="shared" si="4"/>
        <v>7.8750000000000001E-3</v>
      </c>
      <c r="G32" s="144" t="s">
        <v>394</v>
      </c>
      <c r="U32" s="216" t="s">
        <v>261</v>
      </c>
      <c r="V32" s="225">
        <v>50000000</v>
      </c>
      <c r="W32" s="226" t="s">
        <v>418</v>
      </c>
      <c r="X32" s="137"/>
      <c r="Y32" s="227"/>
      <c r="Z32" s="228">
        <v>0</v>
      </c>
      <c r="AA32" s="112"/>
      <c r="AB32" s="220">
        <f t="shared" si="6"/>
        <v>0</v>
      </c>
      <c r="AC32" s="229">
        <v>0</v>
      </c>
      <c r="AD32" s="230">
        <v>0</v>
      </c>
      <c r="AE32" s="220">
        <f t="shared" si="7"/>
        <v>0</v>
      </c>
    </row>
    <row r="33" spans="2:31" ht="15" thickBot="1">
      <c r="I33" s="5">
        <v>6</v>
      </c>
      <c r="J33" t="s">
        <v>419</v>
      </c>
      <c r="U33" s="231" t="s">
        <v>420</v>
      </c>
      <c r="V33" s="232" t="s">
        <v>421</v>
      </c>
      <c r="W33" s="233">
        <f>V43*(15/30)</f>
        <v>0</v>
      </c>
      <c r="X33" s="234">
        <f>V43/2</f>
        <v>0</v>
      </c>
      <c r="Y33" s="235">
        <f t="shared" ref="Y33" si="8">SUM(W33:X33)</f>
        <v>0</v>
      </c>
      <c r="Z33" s="236">
        <f>V32*(15/30)</f>
        <v>25000000</v>
      </c>
      <c r="AA33" s="234">
        <f>V32/2</f>
        <v>25000000</v>
      </c>
      <c r="AB33" s="237">
        <f t="shared" si="6"/>
        <v>50000000</v>
      </c>
      <c r="AC33" s="238">
        <f>Z33</f>
        <v>25000000</v>
      </c>
      <c r="AD33" s="234">
        <f>Y32/2</f>
        <v>0</v>
      </c>
      <c r="AE33" s="237">
        <f t="shared" si="7"/>
        <v>25000000</v>
      </c>
    </row>
    <row r="34" spans="2:31">
      <c r="B34" s="29" t="s">
        <v>422</v>
      </c>
      <c r="J34" t="s">
        <v>423</v>
      </c>
      <c r="M34" s="224" t="s">
        <v>417</v>
      </c>
      <c r="V34" s="239" t="s">
        <v>424</v>
      </c>
      <c r="W34" s="240">
        <f>SUM(W28:W33)</f>
        <v>200000000</v>
      </c>
      <c r="X34" s="241">
        <f t="shared" ref="X34" si="9">SUM(X28:X33)</f>
        <v>50000000</v>
      </c>
      <c r="Y34" s="242">
        <f>SUM(Y28:Y33)</f>
        <v>250000000</v>
      </c>
      <c r="Z34" s="240">
        <f>SUM(Z28:Z33)</f>
        <v>225000000</v>
      </c>
      <c r="AA34" s="241">
        <f t="shared" ref="AA34" si="10">SUM(AA28:AA33)</f>
        <v>25000000</v>
      </c>
      <c r="AB34" s="242">
        <f>SUM(AB28:AB33)</f>
        <v>250000000</v>
      </c>
      <c r="AC34" s="241">
        <f t="shared" ref="AC34:AE34" si="11">SUM(AC28:AC33)</f>
        <v>225000000</v>
      </c>
      <c r="AD34" s="241">
        <f t="shared" si="11"/>
        <v>25000000</v>
      </c>
      <c r="AE34" s="242">
        <f t="shared" si="11"/>
        <v>250000000</v>
      </c>
    </row>
    <row r="35" spans="2:31">
      <c r="V35" t="s">
        <v>425</v>
      </c>
      <c r="W35" s="243">
        <v>7.4999999999999997E-3</v>
      </c>
      <c r="X35" s="244">
        <v>0.01</v>
      </c>
      <c r="Y35" s="116"/>
      <c r="Z35" s="243">
        <v>7.4999999999999997E-3</v>
      </c>
      <c r="AA35" s="244">
        <v>0.01</v>
      </c>
      <c r="AB35" s="116"/>
      <c r="AC35" s="245">
        <v>7.4999999999999997E-3</v>
      </c>
      <c r="AD35" s="244">
        <v>0.01</v>
      </c>
      <c r="AE35" s="116"/>
    </row>
    <row r="36" spans="2:31" ht="15" thickBot="1">
      <c r="I36" s="29" t="s">
        <v>426</v>
      </c>
      <c r="V36" s="99" t="s">
        <v>333</v>
      </c>
      <c r="W36" s="246">
        <f>W34*W35</f>
        <v>1500000</v>
      </c>
      <c r="X36" s="247">
        <f>X34*X35</f>
        <v>500000</v>
      </c>
      <c r="Y36" s="248"/>
      <c r="Z36" s="246">
        <f>Z34*Z35</f>
        <v>1687500</v>
      </c>
      <c r="AA36" s="247">
        <f>AA34*AA35</f>
        <v>250000</v>
      </c>
      <c r="AB36" s="248"/>
      <c r="AC36" s="247">
        <f>AC34*AC35</f>
        <v>1687500</v>
      </c>
      <c r="AD36" s="247">
        <f>AD34*AD35</f>
        <v>250000</v>
      </c>
      <c r="AE36" s="248"/>
    </row>
    <row r="37" spans="2:31">
      <c r="I37" s="5">
        <v>1</v>
      </c>
      <c r="J37" t="s">
        <v>427</v>
      </c>
    </row>
    <row r="38" spans="2:31">
      <c r="J38" s="249" t="s">
        <v>428</v>
      </c>
    </row>
    <row r="39" spans="2:31">
      <c r="J39" t="s">
        <v>429</v>
      </c>
      <c r="AC39" s="250"/>
    </row>
    <row r="40" spans="2:31">
      <c r="I40" s="5">
        <v>2</v>
      </c>
      <c r="J40" t="s">
        <v>430</v>
      </c>
    </row>
    <row r="41" spans="2:31">
      <c r="J41" t="s">
        <v>431</v>
      </c>
    </row>
    <row r="42" spans="2:31">
      <c r="J42" t="s">
        <v>432</v>
      </c>
    </row>
    <row r="43" spans="2:31">
      <c r="I43" s="5">
        <v>3</v>
      </c>
      <c r="J43" t="s">
        <v>433</v>
      </c>
    </row>
    <row r="44" spans="2:31">
      <c r="J44" t="s">
        <v>434</v>
      </c>
    </row>
    <row r="45" spans="2:31">
      <c r="J45" t="s">
        <v>435</v>
      </c>
    </row>
    <row r="46" spans="2:31">
      <c r="B46" s="29" t="s">
        <v>436</v>
      </c>
      <c r="J46" t="s">
        <v>437</v>
      </c>
    </row>
    <row r="55" spans="9:10">
      <c r="I55" s="5"/>
    </row>
    <row r="57" spans="9:10">
      <c r="J57" s="151"/>
    </row>
    <row r="58" spans="9:10">
      <c r="J58" s="29"/>
    </row>
  </sheetData>
  <mergeCells count="10">
    <mergeCell ref="U26:U27"/>
    <mergeCell ref="W26:Y26"/>
    <mergeCell ref="Z26:AB26"/>
    <mergeCell ref="AC26:AE26"/>
    <mergeCell ref="F3:G3"/>
    <mergeCell ref="J13:L13"/>
    <mergeCell ref="N13:P13"/>
    <mergeCell ref="Z13:AB13"/>
    <mergeCell ref="J19:L19"/>
    <mergeCell ref="N19:P19"/>
  </mergeCells>
  <hyperlinks>
    <hyperlink ref="M31" location="'Incentive Scheme'!U11" display="Refer to this calculation" xr:uid="{FCF5E39F-B10B-447E-A768-65B6E29AE9EE}"/>
    <hyperlink ref="M34" location="'Incentive Scheme'!U23" display="Refer to this calculation" xr:uid="{F2608802-AA13-4F21-975B-8C02F049985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showGridLines="0" workbookViewId="0">
      <selection activeCell="B20" sqref="B20"/>
    </sheetView>
  </sheetViews>
  <sheetFormatPr defaultRowHeight="14.45"/>
  <cols>
    <col min="1" max="1" width="32" customWidth="1"/>
    <col min="2" max="2" width="110" customWidth="1"/>
  </cols>
  <sheetData>
    <row r="1" spans="1:2" ht="30.6" customHeight="1">
      <c r="A1" s="275" t="s">
        <v>438</v>
      </c>
      <c r="B1" s="276"/>
    </row>
    <row r="2" spans="1:2">
      <c r="A2" s="2" t="s">
        <v>439</v>
      </c>
      <c r="B2" s="2" t="s">
        <v>440</v>
      </c>
    </row>
    <row r="3" spans="1:2">
      <c r="A3" s="2" t="s">
        <v>441</v>
      </c>
      <c r="B3" s="2" t="s">
        <v>442</v>
      </c>
    </row>
    <row r="4" spans="1:2">
      <c r="A4" s="2"/>
      <c r="B4" s="2"/>
    </row>
    <row r="5" spans="1:2">
      <c r="A5" s="1" t="s">
        <v>443</v>
      </c>
      <c r="B5" s="1" t="s">
        <v>444</v>
      </c>
    </row>
    <row r="6" spans="1:2">
      <c r="A6" s="2" t="s">
        <v>1</v>
      </c>
      <c r="B6" s="2" t="s">
        <v>445</v>
      </c>
    </row>
    <row r="7" spans="1:2">
      <c r="A7" s="2" t="s">
        <v>446</v>
      </c>
      <c r="B7" s="2" t="s">
        <v>447</v>
      </c>
    </row>
    <row r="8" spans="1:2">
      <c r="A8" s="2" t="s">
        <v>3</v>
      </c>
      <c r="B8" s="2" t="s">
        <v>448</v>
      </c>
    </row>
    <row r="9" spans="1:2">
      <c r="A9" s="2" t="s">
        <v>449</v>
      </c>
      <c r="B9" s="2" t="s">
        <v>450</v>
      </c>
    </row>
    <row r="10" spans="1:2">
      <c r="A10" s="2" t="s">
        <v>5</v>
      </c>
      <c r="B10" s="2" t="s">
        <v>451</v>
      </c>
    </row>
    <row r="11" spans="1:2">
      <c r="A11" s="2" t="s">
        <v>6</v>
      </c>
      <c r="B11" s="2" t="s">
        <v>452</v>
      </c>
    </row>
    <row r="12" spans="1:2">
      <c r="A12" s="2" t="s">
        <v>7</v>
      </c>
      <c r="B12" s="2" t="s">
        <v>453</v>
      </c>
    </row>
    <row r="13" spans="1:2">
      <c r="A13" s="2" t="s">
        <v>8</v>
      </c>
      <c r="B13" s="2" t="s">
        <v>454</v>
      </c>
    </row>
    <row r="14" spans="1:2">
      <c r="A14" s="2" t="s">
        <v>9</v>
      </c>
      <c r="B14" s="2" t="s">
        <v>455</v>
      </c>
    </row>
    <row r="15" spans="1:2">
      <c r="A15" s="2"/>
      <c r="B15" s="2"/>
    </row>
    <row r="16" spans="1:2">
      <c r="A16" s="1" t="s">
        <v>456</v>
      </c>
      <c r="B16" s="1"/>
    </row>
    <row r="17" spans="1:2">
      <c r="A17" s="2" t="s">
        <v>457</v>
      </c>
      <c r="B17" s="2" t="s">
        <v>458</v>
      </c>
    </row>
    <row r="18" spans="1:2">
      <c r="A18" s="2" t="s">
        <v>459</v>
      </c>
      <c r="B18" s="2" t="s">
        <v>460</v>
      </c>
    </row>
    <row r="19" spans="1:2">
      <c r="A19" s="2" t="s">
        <v>57</v>
      </c>
      <c r="B19" s="2" t="s">
        <v>461</v>
      </c>
    </row>
    <row r="20" spans="1:2">
      <c r="A20" s="2" t="s">
        <v>462</v>
      </c>
      <c r="B20" s="2" t="s">
        <v>463</v>
      </c>
    </row>
    <row r="21" spans="1:2">
      <c r="A21" s="2" t="s">
        <v>464</v>
      </c>
      <c r="B21" s="2" t="s">
        <v>465</v>
      </c>
    </row>
    <row r="22" spans="1:2">
      <c r="A22" s="2" t="s">
        <v>466</v>
      </c>
      <c r="B22" s="2" t="s">
        <v>467</v>
      </c>
    </row>
    <row r="23" spans="1:2">
      <c r="A23" s="2" t="s">
        <v>468</v>
      </c>
      <c r="B23" s="2" t="s">
        <v>469</v>
      </c>
    </row>
    <row r="24" spans="1:2">
      <c r="A24" s="2" t="s">
        <v>470</v>
      </c>
      <c r="B24" s="2" t="s">
        <v>471</v>
      </c>
    </row>
    <row r="25" spans="1:2">
      <c r="A25" s="2" t="s">
        <v>472</v>
      </c>
      <c r="B25" s="2" t="s">
        <v>473</v>
      </c>
    </row>
    <row r="26" spans="1:2">
      <c r="A26" s="2" t="s">
        <v>474</v>
      </c>
      <c r="B26" s="2"/>
    </row>
    <row r="27" spans="1:2">
      <c r="A27" s="2" t="s">
        <v>475</v>
      </c>
      <c r="B27" s="2" t="s">
        <v>476</v>
      </c>
    </row>
    <row r="28" spans="1:2">
      <c r="A28" s="2" t="s">
        <v>477</v>
      </c>
      <c r="B28" s="2" t="s">
        <v>478</v>
      </c>
    </row>
    <row r="29" spans="1:2">
      <c r="A29" s="2" t="s">
        <v>479</v>
      </c>
      <c r="B29" s="2" t="s">
        <v>480</v>
      </c>
    </row>
    <row r="30" spans="1:2">
      <c r="A30" s="2" t="s">
        <v>481</v>
      </c>
      <c r="B30" s="2" t="s">
        <v>482</v>
      </c>
    </row>
    <row r="31" spans="1:2">
      <c r="A31" s="2" t="s">
        <v>483</v>
      </c>
      <c r="B31" s="2" t="s">
        <v>484</v>
      </c>
    </row>
    <row r="32" spans="1:2">
      <c r="A32" s="2" t="s">
        <v>485</v>
      </c>
      <c r="B32" s="2" t="s">
        <v>486</v>
      </c>
    </row>
    <row r="33" spans="1:2">
      <c r="A33" s="2" t="s">
        <v>487</v>
      </c>
      <c r="B33" s="2" t="s">
        <v>488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showGridLines="0" workbookViewId="0">
      <pane ySplit="1" topLeftCell="A4" activePane="bottomLeft" state="frozen"/>
      <selection pane="bottomLeft" activeCell="D7" sqref="D7"/>
    </sheetView>
  </sheetViews>
  <sheetFormatPr defaultRowHeight="14.45"/>
  <cols>
    <col min="1" max="1" width="12" customWidth="1"/>
    <col min="2" max="2" width="33" customWidth="1"/>
    <col min="3" max="3" width="47.42578125" customWidth="1"/>
    <col min="4" max="4" width="45.42578125" customWidth="1"/>
  </cols>
  <sheetData>
    <row r="1" spans="1:4" ht="30" customHeight="1">
      <c r="A1" s="1" t="s">
        <v>489</v>
      </c>
      <c r="B1" s="1" t="s">
        <v>490</v>
      </c>
      <c r="C1" s="1" t="s">
        <v>491</v>
      </c>
      <c r="D1" s="1" t="s">
        <v>492</v>
      </c>
    </row>
    <row r="2" spans="1:4">
      <c r="A2" s="7">
        <v>1</v>
      </c>
      <c r="B2" s="2" t="s">
        <v>493</v>
      </c>
      <c r="C2" s="2" t="s">
        <v>494</v>
      </c>
      <c r="D2" s="2" t="s">
        <v>495</v>
      </c>
    </row>
    <row r="3" spans="1:4">
      <c r="A3" s="7">
        <v>2</v>
      </c>
      <c r="B3" s="2" t="s">
        <v>496</v>
      </c>
      <c r="C3" s="2" t="s">
        <v>497</v>
      </c>
      <c r="D3" s="2" t="s">
        <v>498</v>
      </c>
    </row>
    <row r="4" spans="1:4">
      <c r="A4" s="7">
        <v>3</v>
      </c>
      <c r="B4" s="2" t="s">
        <v>499</v>
      </c>
      <c r="C4" s="26" t="s">
        <v>500</v>
      </c>
      <c r="D4" s="2" t="s">
        <v>501</v>
      </c>
    </row>
    <row r="5" spans="1:4">
      <c r="A5" s="7">
        <v>4</v>
      </c>
      <c r="B5" s="2" t="s">
        <v>502</v>
      </c>
      <c r="C5" s="2" t="s">
        <v>503</v>
      </c>
      <c r="D5" s="2" t="s">
        <v>504</v>
      </c>
    </row>
    <row r="6" spans="1:4">
      <c r="A6" s="7">
        <v>5</v>
      </c>
      <c r="B6" s="2" t="s">
        <v>505</v>
      </c>
      <c r="C6" s="2" t="s">
        <v>506</v>
      </c>
      <c r="D6" s="2" t="s">
        <v>507</v>
      </c>
    </row>
    <row r="7" spans="1:4" ht="29.1">
      <c r="A7" s="7">
        <v>6</v>
      </c>
      <c r="B7" s="2" t="s">
        <v>508</v>
      </c>
      <c r="C7" s="2" t="s">
        <v>509</v>
      </c>
      <c r="D7" s="27" t="s">
        <v>510</v>
      </c>
    </row>
    <row r="8" spans="1:4">
      <c r="A8" s="7">
        <v>7</v>
      </c>
      <c r="B8" s="2" t="s">
        <v>511</v>
      </c>
      <c r="C8" s="2" t="s">
        <v>512</v>
      </c>
      <c r="D8" s="2" t="s">
        <v>513</v>
      </c>
    </row>
    <row r="9" spans="1:4">
      <c r="A9" s="7">
        <v>8</v>
      </c>
      <c r="B9" s="2" t="s">
        <v>514</v>
      </c>
      <c r="C9" s="2" t="s">
        <v>515</v>
      </c>
      <c r="D9" s="2" t="s">
        <v>516</v>
      </c>
    </row>
    <row r="10" spans="1:4">
      <c r="A10" s="7">
        <v>9</v>
      </c>
      <c r="B10" s="2" t="s">
        <v>517</v>
      </c>
      <c r="C10" s="2" t="s">
        <v>518</v>
      </c>
      <c r="D10" s="2" t="s">
        <v>519</v>
      </c>
    </row>
    <row r="11" spans="1:4">
      <c r="A11" s="7">
        <v>10</v>
      </c>
      <c r="B11" s="2" t="s">
        <v>520</v>
      </c>
      <c r="C11" s="2" t="s">
        <v>521</v>
      </c>
      <c r="D11" s="2" t="s">
        <v>522</v>
      </c>
    </row>
    <row r="12" spans="1:4">
      <c r="A12" s="7">
        <v>11</v>
      </c>
      <c r="B12" s="2" t="s">
        <v>523</v>
      </c>
      <c r="C12" s="2" t="s">
        <v>524</v>
      </c>
      <c r="D12" s="2" t="s">
        <v>525</v>
      </c>
    </row>
    <row r="13" spans="1:4">
      <c r="A13" s="7">
        <v>12</v>
      </c>
      <c r="B13" s="2" t="s">
        <v>526</v>
      </c>
      <c r="C13" s="2" t="s">
        <v>527</v>
      </c>
      <c r="D13" s="2" t="s">
        <v>528</v>
      </c>
    </row>
    <row r="14" spans="1:4">
      <c r="A14" s="7">
        <v>13</v>
      </c>
      <c r="B14" s="2" t="s">
        <v>529</v>
      </c>
      <c r="C14" s="2" t="s">
        <v>530</v>
      </c>
      <c r="D14" s="2" t="s">
        <v>531</v>
      </c>
    </row>
    <row r="15" spans="1:4">
      <c r="A15" s="7">
        <v>14</v>
      </c>
      <c r="B15" s="2" t="s">
        <v>532</v>
      </c>
      <c r="C15" s="2" t="s">
        <v>533</v>
      </c>
      <c r="D15" s="2" t="s">
        <v>534</v>
      </c>
    </row>
    <row r="16" spans="1:4">
      <c r="A16" s="7">
        <v>15</v>
      </c>
      <c r="B16" s="2" t="s">
        <v>535</v>
      </c>
      <c r="C16" s="2" t="s">
        <v>536</v>
      </c>
      <c r="D16" s="2" t="s">
        <v>537</v>
      </c>
    </row>
    <row r="17" spans="1:4">
      <c r="A17" s="7">
        <v>16</v>
      </c>
      <c r="B17" s="2" t="s">
        <v>538</v>
      </c>
      <c r="C17" s="2" t="s">
        <v>539</v>
      </c>
      <c r="D17" s="2" t="s">
        <v>540</v>
      </c>
    </row>
    <row r="18" spans="1:4">
      <c r="A18" s="7">
        <v>17</v>
      </c>
      <c r="B18" s="2" t="s">
        <v>541</v>
      </c>
      <c r="C18" s="2" t="s">
        <v>542</v>
      </c>
      <c r="D18" s="2" t="s">
        <v>543</v>
      </c>
    </row>
  </sheetData>
  <autoFilter ref="A1:D17" xr:uid="{00000000-0009-0000-0000-000004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showGridLines="0" workbookViewId="0">
      <pane ySplit="1" topLeftCell="A2" activePane="bottomLeft" state="frozen"/>
      <selection pane="bottomLeft" activeCell="B4" sqref="B4"/>
    </sheetView>
  </sheetViews>
  <sheetFormatPr defaultRowHeight="14.45"/>
  <cols>
    <col min="1" max="1" width="34" customWidth="1"/>
    <col min="2" max="2" width="48.42578125" customWidth="1"/>
    <col min="3" max="3" width="52.140625" customWidth="1"/>
    <col min="4" max="4" width="26.140625" bestFit="1" customWidth="1"/>
  </cols>
  <sheetData>
    <row r="1" spans="1:4">
      <c r="A1" s="6" t="s">
        <v>544</v>
      </c>
      <c r="B1" s="1" t="s">
        <v>439</v>
      </c>
      <c r="C1" s="1" t="s">
        <v>545</v>
      </c>
      <c r="D1" s="6" t="s">
        <v>546</v>
      </c>
    </row>
    <row r="2" spans="1:4" ht="29.1">
      <c r="A2" s="2" t="s">
        <v>547</v>
      </c>
      <c r="B2" s="2" t="s">
        <v>548</v>
      </c>
      <c r="C2" s="2" t="s">
        <v>549</v>
      </c>
      <c r="D2" s="2" t="s">
        <v>550</v>
      </c>
    </row>
    <row r="3" spans="1:4" ht="43.5">
      <c r="A3" s="2" t="s">
        <v>551</v>
      </c>
      <c r="B3" s="2" t="s">
        <v>552</v>
      </c>
      <c r="C3" s="2" t="s">
        <v>553</v>
      </c>
      <c r="D3" s="2" t="s">
        <v>554</v>
      </c>
    </row>
    <row r="4" spans="1:4" ht="29.1">
      <c r="A4" s="2" t="s">
        <v>555</v>
      </c>
      <c r="B4" s="2" t="s">
        <v>556</v>
      </c>
      <c r="C4" s="2" t="s">
        <v>557</v>
      </c>
      <c r="D4" s="2" t="s">
        <v>558</v>
      </c>
    </row>
    <row r="5" spans="1:4" ht="29.1">
      <c r="A5" s="2" t="s">
        <v>383</v>
      </c>
      <c r="B5" s="27" t="s">
        <v>559</v>
      </c>
      <c r="C5" s="2" t="s">
        <v>560</v>
      </c>
      <c r="D5" s="2" t="s">
        <v>558</v>
      </c>
    </row>
    <row r="6" spans="1:4" ht="29.1">
      <c r="A6" s="2" t="s">
        <v>45</v>
      </c>
      <c r="B6" s="2" t="s">
        <v>561</v>
      </c>
      <c r="C6" s="2" t="s">
        <v>562</v>
      </c>
      <c r="D6" s="2" t="s">
        <v>558</v>
      </c>
    </row>
    <row r="7" spans="1:4" ht="29.1">
      <c r="A7" s="2" t="s">
        <v>563</v>
      </c>
      <c r="B7" s="2" t="s">
        <v>564</v>
      </c>
      <c r="C7" s="2" t="s">
        <v>565</v>
      </c>
      <c r="D7" s="2" t="s">
        <v>558</v>
      </c>
    </row>
    <row r="8" spans="1:4" ht="57.95">
      <c r="A8" s="2" t="s">
        <v>566</v>
      </c>
      <c r="B8" s="2" t="s">
        <v>567</v>
      </c>
      <c r="C8" s="2" t="s">
        <v>568</v>
      </c>
      <c r="D8" s="2" t="s">
        <v>558</v>
      </c>
    </row>
    <row r="9" spans="1:4" ht="29.1">
      <c r="A9" s="2" t="s">
        <v>569</v>
      </c>
      <c r="B9" s="2" t="s">
        <v>570</v>
      </c>
      <c r="C9" s="2" t="s">
        <v>571</v>
      </c>
      <c r="D9" s="2" t="s">
        <v>558</v>
      </c>
    </row>
    <row r="10" spans="1:4">
      <c r="A10" s="2" t="s">
        <v>572</v>
      </c>
      <c r="B10" s="2" t="s">
        <v>573</v>
      </c>
      <c r="C10" s="2" t="s">
        <v>574</v>
      </c>
      <c r="D10" s="2" t="s">
        <v>7</v>
      </c>
    </row>
    <row r="11" spans="1:4">
      <c r="A11" s="2" t="s">
        <v>323</v>
      </c>
      <c r="B11" s="2" t="s">
        <v>575</v>
      </c>
      <c r="C11" s="2" t="s">
        <v>576</v>
      </c>
      <c r="D11" s="2" t="s">
        <v>7</v>
      </c>
    </row>
    <row r="12" spans="1:4" ht="29.1">
      <c r="A12" s="2" t="s">
        <v>577</v>
      </c>
      <c r="B12" s="2" t="s">
        <v>312</v>
      </c>
      <c r="C12" s="2" t="s">
        <v>578</v>
      </c>
      <c r="D12" s="2" t="s">
        <v>579</v>
      </c>
    </row>
  </sheetData>
  <autoFilter ref="A1:D12" xr:uid="{00000000-0009-0000-0000-000003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defaultRowHeight="14.45"/>
  <cols>
    <col min="1" max="1" width="22" customWidth="1"/>
    <col min="2" max="2" width="86.5703125" customWidth="1"/>
  </cols>
  <sheetData>
    <row r="1" spans="1:2">
      <c r="A1" s="3" t="s">
        <v>580</v>
      </c>
      <c r="B1" s="3" t="s">
        <v>581</v>
      </c>
    </row>
    <row r="2" spans="1:2">
      <c r="A2" t="s">
        <v>7</v>
      </c>
      <c r="B2" t="s">
        <v>582</v>
      </c>
    </row>
    <row r="3" spans="1:2">
      <c r="A3" t="s">
        <v>69</v>
      </c>
      <c r="B3" t="s">
        <v>583</v>
      </c>
    </row>
    <row r="4" spans="1:2">
      <c r="A4" t="s">
        <v>8</v>
      </c>
      <c r="B4" t="s">
        <v>584</v>
      </c>
    </row>
    <row r="5" spans="1:2">
      <c r="A5" t="s">
        <v>19</v>
      </c>
      <c r="B5" t="s">
        <v>585</v>
      </c>
    </row>
    <row r="6" spans="1:2">
      <c r="A6" t="s">
        <v>55</v>
      </c>
      <c r="B6" t="s">
        <v>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2026-08-10T09:03:32Z</dcterms:created>
  <dcterms:modified xsi:type="dcterms:W3CDTF">2026-08-12T16:56:18Z</dcterms:modified>
  <cp:category/>
  <cp:contentStatus/>
</cp:coreProperties>
</file>